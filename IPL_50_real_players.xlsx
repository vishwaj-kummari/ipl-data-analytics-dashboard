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ishwaj\Downloads\"/>
    </mc:Choice>
  </mc:AlternateContent>
  <xr:revisionPtr revIDLastSave="0" documentId="13_ncr:1_{1D9024B5-88CF-42FD-A54C-4553E2628927}" xr6:coauthVersionLast="47" xr6:coauthVersionMax="47" xr10:uidLastSave="{00000000-0000-0000-0000-000000000000}"/>
  <bookViews>
    <workbookView xWindow="-108" yWindow="-108" windowWidth="23256" windowHeight="12456" activeTab="1" xr2:uid="{00000000-000D-0000-FFFF-FFFF00000000}"/>
  </bookViews>
  <sheets>
    <sheet name="IPL_Real_50_Players" sheetId="1" r:id="rId1"/>
    <sheet name="dashboard" sheetId="2" r:id="rId2"/>
    <sheet name="sheet" sheetId="3" r:id="rId3"/>
    <sheet name="Sheet4" sheetId="5" r:id="rId4"/>
    <sheet name="Sheet3" sheetId="4" r:id="rId5"/>
  </sheets>
  <definedNames>
    <definedName name="allrounders">Table4[]</definedName>
    <definedName name="batters">Table2[]</definedName>
    <definedName name="bowlers">Table3[]</definedName>
    <definedName name="dash">Table1[]</definedName>
    <definedName name="players">Table1[]</definedName>
    <definedName name="Slicer_player">#N/A</definedName>
    <definedName name="Slicer_Player_Name">#N/A</definedName>
    <definedName name="Slicer_team">#N/A</definedName>
    <definedName name="teams">Table5[]</definedName>
  </definedNames>
  <calcPr calcId="191029"/>
  <pivotCaches>
    <pivotCache cacheId="0" r:id="rId6"/>
    <pivotCache cacheId="4" r:id="rId7"/>
    <pivotCache cacheId="6" r:id="rId8"/>
    <pivotCache cacheId="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4" i="1" l="1"/>
  <c r="G78" i="1"/>
  <c r="G77" i="1"/>
  <c r="G76" i="1"/>
  <c r="G75" i="1"/>
  <c r="G74" i="1"/>
  <c r="G73" i="1"/>
  <c r="G72" i="1"/>
  <c r="G71" i="1"/>
  <c r="G70" i="1"/>
  <c r="G69" i="1"/>
  <c r="G68" i="1"/>
  <c r="G67" i="1"/>
  <c r="G66" i="1"/>
  <c r="G65" i="1"/>
  <c r="G64" i="1"/>
  <c r="G63" i="1"/>
  <c r="G62" i="1"/>
  <c r="G61" i="1"/>
  <c r="G60" i="1"/>
  <c r="G59" i="1"/>
  <c r="G58" i="1"/>
  <c r="G57" i="1"/>
  <c r="G56" i="1"/>
  <c r="G55" i="1"/>
  <c r="B24" i="5"/>
  <c r="B25" i="5"/>
  <c r="B26" i="5"/>
  <c r="B27" i="5"/>
  <c r="B28" i="5"/>
  <c r="B29" i="5"/>
  <c r="B30" i="5"/>
  <c r="B31" i="5"/>
  <c r="B32" i="5"/>
  <c r="B23" i="5"/>
  <c r="K7" i="4"/>
  <c r="I7" i="4"/>
  <c r="J7" i="4"/>
  <c r="H7" i="4"/>
</calcChain>
</file>

<file path=xl/sharedStrings.xml><?xml version="1.0" encoding="utf-8"?>
<sst xmlns="http://schemas.openxmlformats.org/spreadsheetml/2006/main" count="785" uniqueCount="154">
  <si>
    <t>Player Name</t>
  </si>
  <si>
    <t>Team</t>
  </si>
  <si>
    <t>Role</t>
  </si>
  <si>
    <t>Batting Style</t>
  </si>
  <si>
    <t>Bowling Style</t>
  </si>
  <si>
    <t>Matches</t>
  </si>
  <si>
    <t>Runs</t>
  </si>
  <si>
    <t>Avg</t>
  </si>
  <si>
    <t>Strike Rate</t>
  </si>
  <si>
    <t>Wickets</t>
  </si>
  <si>
    <t>Economy</t>
  </si>
  <si>
    <t>Skills</t>
  </si>
  <si>
    <t>Virat Kohli</t>
  </si>
  <si>
    <t>RCB</t>
  </si>
  <si>
    <t>Batter</t>
  </si>
  <si>
    <t>Right-hand</t>
  </si>
  <si>
    <t>-</t>
  </si>
  <si>
    <t>Anchoring, Cover Drive</t>
  </si>
  <si>
    <t>Faf du Plessis</t>
  </si>
  <si>
    <t>Consistency</t>
  </si>
  <si>
    <t>Glenn Maxwell</t>
  </si>
  <si>
    <t>All-rounder</t>
  </si>
  <si>
    <t>Off Spin</t>
  </si>
  <si>
    <t>Power Hitting</t>
  </si>
  <si>
    <t>Rohit Sharma</t>
  </si>
  <si>
    <t>MI</t>
  </si>
  <si>
    <t>Powerplay Hitting</t>
  </si>
  <si>
    <t>Suryakumar Yadav</t>
  </si>
  <si>
    <t>360 Shots</t>
  </si>
  <si>
    <t>Hardik Pandya</t>
  </si>
  <si>
    <t>Medium Fast</t>
  </si>
  <si>
    <t>Finishing</t>
  </si>
  <si>
    <t>Jasprit Bumrah</t>
  </si>
  <si>
    <t>Bowler</t>
  </si>
  <si>
    <t>Fast</t>
  </si>
  <si>
    <t>Death Bowling</t>
  </si>
  <si>
    <t>MS Dhoni</t>
  </si>
  <si>
    <t>CSK</t>
  </si>
  <si>
    <t>WK-Batter</t>
  </si>
  <si>
    <t>Ravindra Jadeja</t>
  </si>
  <si>
    <t>Left-hand</t>
  </si>
  <si>
    <t>Left-arm Spin</t>
  </si>
  <si>
    <t>All-round</t>
  </si>
  <si>
    <t>Ruturaj Gaikwad</t>
  </si>
  <si>
    <t>Timing</t>
  </si>
  <si>
    <t>Andre Russell</t>
  </si>
  <si>
    <t>KKR</t>
  </si>
  <si>
    <t>Sunil Narine</t>
  </si>
  <si>
    <t>Spin</t>
  </si>
  <si>
    <t>Mystery Spin</t>
  </si>
  <si>
    <t>Shubman Gill</t>
  </si>
  <si>
    <t>GT</t>
  </si>
  <si>
    <t>Class</t>
  </si>
  <si>
    <t>Rashid Khan</t>
  </si>
  <si>
    <t>Leg Spin</t>
  </si>
  <si>
    <t>David Miller</t>
  </si>
  <si>
    <t>KL Rahul</t>
  </si>
  <si>
    <t>LSG</t>
  </si>
  <si>
    <t>Quinton de Kock</t>
  </si>
  <si>
    <t>Aggression</t>
  </si>
  <si>
    <t>Sanju Samson</t>
  </si>
  <si>
    <t>RR</t>
  </si>
  <si>
    <t>Shot Making</t>
  </si>
  <si>
    <t>Jos Buttler</t>
  </si>
  <si>
    <t>Yuzvendra Chahal</t>
  </si>
  <si>
    <t>Wicket Taking</t>
  </si>
  <si>
    <t>David Warner</t>
  </si>
  <si>
    <t>DC</t>
  </si>
  <si>
    <t>Rishabh Pant</t>
  </si>
  <si>
    <t>Explosive</t>
  </si>
  <si>
    <t>Axar Patel</t>
  </si>
  <si>
    <t>Kane Williamson</t>
  </si>
  <si>
    <t>SRH</t>
  </si>
  <si>
    <t>Anchoring</t>
  </si>
  <si>
    <t>Aiden Markram</t>
  </si>
  <si>
    <t>Stability</t>
  </si>
  <si>
    <t>Bhuvneshwar Kumar</t>
  </si>
  <si>
    <t>Swing</t>
  </si>
  <si>
    <t>Shikhar Dhawan</t>
  </si>
  <si>
    <t>PBKS</t>
  </si>
  <si>
    <t>Liam Livingstone</t>
  </si>
  <si>
    <t>Power</t>
  </si>
  <si>
    <t>Arshdeep Singh</t>
  </si>
  <si>
    <t>Death</t>
  </si>
  <si>
    <t>Trent Boult</t>
  </si>
  <si>
    <t>Mitchell Starc</t>
  </si>
  <si>
    <t>Pace</t>
  </si>
  <si>
    <t>Pat Cummins</t>
  </si>
  <si>
    <t>Ben Stokes</t>
  </si>
  <si>
    <t>Match Winner</t>
  </si>
  <si>
    <t>Nicholas Pooran</t>
  </si>
  <si>
    <t>Finisher</t>
  </si>
  <si>
    <t>Marcus Stoinis</t>
  </si>
  <si>
    <t>Medium</t>
  </si>
  <si>
    <t>Devon Conway</t>
  </si>
  <si>
    <t>Mohammed Siraj</t>
  </si>
  <si>
    <t>Kuldeep Yadav</t>
  </si>
  <si>
    <t>Rahul Tripathi</t>
  </si>
  <si>
    <t>Abhishek Sharma</t>
  </si>
  <si>
    <t>Prithvi Shaw</t>
  </si>
  <si>
    <t>Ishan Kishan</t>
  </si>
  <si>
    <t>Deepak Chahar</t>
  </si>
  <si>
    <t>Ravichandran Ashwin</t>
  </si>
  <si>
    <t>Washington Sundar</t>
  </si>
  <si>
    <t>Control</t>
  </si>
  <si>
    <t>Dinesh Karthik</t>
  </si>
  <si>
    <t>Shimron Hetmyer</t>
  </si>
  <si>
    <t>Jason Holder</t>
  </si>
  <si>
    <t>Mayank Agarwal</t>
  </si>
  <si>
    <t>Top Order</t>
  </si>
  <si>
    <t>who are the top 5 run getters ?</t>
  </si>
  <si>
    <t xml:space="preserve"> Which team has the greatest bowling attack?</t>
  </si>
  <si>
    <t>which teams have most wickets ?</t>
  </si>
  <si>
    <t>who are the top 5 experienced players?</t>
  </si>
  <si>
    <t>which teams has highest  and lowest win percentage over last 2 years</t>
  </si>
  <si>
    <t>Sum of Matches</t>
  </si>
  <si>
    <t>Row Labels</t>
  </si>
  <si>
    <t>Grand Total</t>
  </si>
  <si>
    <t>Sum of Wickets</t>
  </si>
  <si>
    <t>Average of Strike Rate</t>
  </si>
  <si>
    <t>Max of Runs</t>
  </si>
  <si>
    <t>for display</t>
  </si>
  <si>
    <t>wickets</t>
  </si>
  <si>
    <t>avg.strike rate</t>
  </si>
  <si>
    <t xml:space="preserve">Total matches </t>
  </si>
  <si>
    <t>Total runs</t>
  </si>
  <si>
    <t>player</t>
  </si>
  <si>
    <t>team</t>
  </si>
  <si>
    <t>role</t>
  </si>
  <si>
    <t>batsman type</t>
  </si>
  <si>
    <t>matches</t>
  </si>
  <si>
    <t>runs</t>
  </si>
  <si>
    <t>avg</t>
  </si>
  <si>
    <t>sr rate</t>
  </si>
  <si>
    <t>skill</t>
  </si>
  <si>
    <t>Sum of runs</t>
  </si>
  <si>
    <t>J.Bumrah</t>
  </si>
  <si>
    <t>Matches Played</t>
  </si>
  <si>
    <t>Matches Won</t>
  </si>
  <si>
    <t>Matches Lost</t>
  </si>
  <si>
    <t>Win %</t>
  </si>
  <si>
    <t>Mumbai Indians</t>
  </si>
  <si>
    <t>Chennai Super Kings</t>
  </si>
  <si>
    <t>Royal Challengers Bangalore</t>
  </si>
  <si>
    <t>Kolkata Knight Riders</t>
  </si>
  <si>
    <t>Delhi Capitals</t>
  </si>
  <si>
    <t>Sunrisers Hyderabad</t>
  </si>
  <si>
    <t>Rajasthan Royals</t>
  </si>
  <si>
    <t>Punjab Kings</t>
  </si>
  <si>
    <t>Lucknow Super Giants</t>
  </si>
  <si>
    <t>Gujarat Titans</t>
  </si>
  <si>
    <t>Sum of Win %</t>
  </si>
  <si>
    <t>Sum of Matches Lost</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</si>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</sst>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0"/>
      <name val="Calibri"/>
      <family val="2"/>
      <scheme val="minor"/>
    </font>
    <font>
      <b/>
      <sz val="11"/>
      <color theme="1"/>
      <name val="Calibri"/>
      <family val="2"/>
      <scheme val="minor"/>
    </font>
    <font>
      <b/>
      <sz val="11"/>
      <color rgb="FF000000"/>
      <name val="Aptos Narrow"/>
      <family val="2"/>
    </font>
    <font>
      <sz val="11"/>
      <color rgb="FF000000"/>
      <name val="Aptos Narrow"/>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1">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4" tint="0.39997558519241921"/>
      </bottom>
      <diagonal/>
    </border>
  </borders>
  <cellStyleXfs count="1">
    <xf numFmtId="0" fontId="0" fillId="0" borderId="0"/>
  </cellStyleXfs>
  <cellXfs count="28">
    <xf numFmtId="0" fontId="0" fillId="0" borderId="0" xfId="0"/>
    <xf numFmtId="0" fontId="0" fillId="0" borderId="0" xfId="0" applyAlignment="1">
      <alignment horizontal="center"/>
    </xf>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4" borderId="4" xfId="0" applyFill="1" applyBorder="1"/>
    <xf numFmtId="0" fontId="0" fillId="4" borderId="5" xfId="0" applyFill="1" applyBorder="1"/>
    <xf numFmtId="0" fontId="0" fillId="4" borderId="6" xfId="0" applyFill="1" applyBorder="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4" borderId="7" xfId="0" applyFill="1" applyBorder="1"/>
    <xf numFmtId="0" fontId="0" fillId="4" borderId="8" xfId="0" applyFill="1" applyBorder="1"/>
    <xf numFmtId="0" fontId="0" fillId="4" borderId="9" xfId="0" applyFill="1" applyBorder="1"/>
    <xf numFmtId="0" fontId="0" fillId="3" borderId="5" xfId="0" applyFill="1" applyBorder="1" applyAlignment="1">
      <alignment horizontal="center"/>
    </xf>
    <xf numFmtId="0" fontId="0" fillId="4" borderId="5" xfId="0" applyFill="1" applyBorder="1" applyAlignment="1">
      <alignment horizontal="center"/>
    </xf>
    <xf numFmtId="0" fontId="1" fillId="2" borderId="2" xfId="0" applyFont="1" applyFill="1" applyBorder="1" applyAlignment="1">
      <alignment horizontal="center"/>
    </xf>
    <xf numFmtId="0" fontId="0" fillId="4" borderId="8" xfId="0" applyFill="1" applyBorder="1" applyAlignment="1">
      <alignment horizontal="center"/>
    </xf>
    <xf numFmtId="0" fontId="2" fillId="4" borderId="10" xfId="0" applyFont="1" applyFill="1" applyBorder="1"/>
    <xf numFmtId="0" fontId="3" fillId="0" borderId="0" xfId="0" applyFont="1" applyAlignment="1">
      <alignment horizontal="center" vertical="top"/>
    </xf>
    <xf numFmtId="0" fontId="4" fillId="0" borderId="0" xfId="0" applyFont="1" applyAlignment="1">
      <alignment horizontal="center"/>
    </xf>
    <xf numFmtId="2" fontId="4" fillId="0" borderId="0" xfId="0" applyNumberFormat="1" applyFont="1" applyAlignment="1">
      <alignment horizontal="center"/>
    </xf>
    <xf numFmtId="0" fontId="0" fillId="0" borderId="0" xfId="0" applyNumberFormat="1"/>
    <xf numFmtId="10" fontId="0" fillId="0" borderId="0" xfId="0" applyNumberFormat="1"/>
  </cellXfs>
  <cellStyles count="1">
    <cellStyle name="Normal" xfId="0" builtinId="0"/>
  </cellStyles>
  <dxfs count="66">
    <dxf>
      <numFmt numFmtId="2" formatCode="0.00"/>
    </dxf>
    <dxf>
      <numFmt numFmtId="14" formatCode="0.00%"/>
    </dxf>
    <dxf>
      <numFmt numFmtId="2" formatCode="0.00"/>
    </dxf>
    <dxf>
      <numFmt numFmtId="2" formatCode="0.00"/>
    </dxf>
    <dxf>
      <numFmt numFmtId="0" formatCode="General"/>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2" formatCode="0.00"/>
    </dxf>
    <dxf>
      <numFmt numFmtId="2" formatCode="0.00"/>
    </dxf>
    <dxf>
      <numFmt numFmtId="2" formatCode="0.00"/>
    </dxf>
    <dxf>
      <font>
        <b val="0"/>
        <i val="0"/>
        <strike val="0"/>
        <condense val="0"/>
        <extend val="0"/>
        <outline val="0"/>
        <shadow val="0"/>
        <u val="none"/>
        <vertAlign val="baseline"/>
        <sz val="11"/>
        <color rgb="FF000000"/>
        <name val="Aptos Narrow"/>
        <family val="2"/>
        <scheme val="none"/>
      </font>
      <alignment horizontal="center" textRotation="0" wrapText="0" indent="0" justifyLastLine="0" shrinkToFit="0" readingOrder="0"/>
    </dxf>
    <dxf>
      <font>
        <b/>
        <i val="0"/>
        <strike val="0"/>
        <condense val="0"/>
        <extend val="0"/>
        <outline val="0"/>
        <shadow val="0"/>
        <u val="none"/>
        <vertAlign val="baseline"/>
        <sz val="11"/>
        <color rgb="FF000000"/>
        <name val="Aptos Narrow"/>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numFmt numFmtId="2" formatCode="0.00"/>
      <alignment horizont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textRotation="0" wrapText="0" indent="0" justifyLastLine="0" shrinkToFit="0" readingOrder="0"/>
    </dxf>
    <dxf>
      <numFmt numFmtId="164" formatCode="0.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[IPL_50_real_players.xlsx]Sheet4!Pivotruns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RUN GETTERS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Virat Kohli</c:v>
                </c:pt>
                <c:pt idx="1">
                  <c:v>Shikhar Dhawan</c:v>
                </c:pt>
                <c:pt idx="2">
                  <c:v>David Warner</c:v>
                </c:pt>
                <c:pt idx="3">
                  <c:v>Rohit Sharma</c:v>
                </c:pt>
                <c:pt idx="4">
                  <c:v>MS Dhoni</c:v>
                </c:pt>
                <c:pt idx="5">
                  <c:v>Dinesh Karthik</c:v>
                </c:pt>
                <c:pt idx="6">
                  <c:v>KL Rahul</c:v>
                </c:pt>
                <c:pt idx="7">
                  <c:v>Faf du Plessis</c:v>
                </c:pt>
                <c:pt idx="8">
                  <c:v>Sanju Samson</c:v>
                </c:pt>
                <c:pt idx="9">
                  <c:v>Jos Buttler</c:v>
                </c:pt>
              </c:strCache>
            </c:strRef>
          </c:cat>
          <c:val>
            <c:numRef>
              <c:f>Sheet4!$B$4:$B$14</c:f>
              <c:numCache>
                <c:formatCode>General</c:formatCode>
                <c:ptCount val="10"/>
                <c:pt idx="0">
                  <c:v>7263</c:v>
                </c:pt>
                <c:pt idx="1">
                  <c:v>6500</c:v>
                </c:pt>
                <c:pt idx="2">
                  <c:v>6500</c:v>
                </c:pt>
                <c:pt idx="3">
                  <c:v>6200</c:v>
                </c:pt>
                <c:pt idx="4">
                  <c:v>5082</c:v>
                </c:pt>
                <c:pt idx="5">
                  <c:v>4500</c:v>
                </c:pt>
                <c:pt idx="6">
                  <c:v>4200</c:v>
                </c:pt>
                <c:pt idx="7">
                  <c:v>4000</c:v>
                </c:pt>
                <c:pt idx="8">
                  <c:v>3800</c:v>
                </c:pt>
                <c:pt idx="9">
                  <c:v>3600</c:v>
                </c:pt>
              </c:numCache>
            </c:numRef>
          </c:val>
          <c:extLst>
            <c:ext xmlns:c16="http://schemas.microsoft.com/office/drawing/2014/chart" uri="{C3380CC4-5D6E-409C-BE32-E72D297353CC}">
              <c16:uniqueId val="{00000000-3A7A-42A0-93FE-4FBD029318E2}"/>
            </c:ext>
          </c:extLst>
        </c:ser>
        <c:dLbls>
          <c:showLegendKey val="0"/>
          <c:showVal val="1"/>
          <c:showCatName val="0"/>
          <c:showSerName val="0"/>
          <c:showPercent val="0"/>
          <c:showBubbleSize val="0"/>
        </c:dLbls>
        <c:gapWidth val="150"/>
        <c:axId val="518927216"/>
        <c:axId val="518926256"/>
      </c:barChart>
      <c:catAx>
        <c:axId val="5189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26256"/>
        <c:crosses val="autoZero"/>
        <c:auto val="1"/>
        <c:lblAlgn val="ctr"/>
        <c:lblOffset val="100"/>
        <c:noMultiLvlLbl val="0"/>
      </c:catAx>
      <c:valAx>
        <c:axId val="51892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WICKET TAKERS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338670166229225"/>
          <c:y val="0.23948272090988626"/>
          <c:w val="0.80872440944881885"/>
          <c:h val="0.70959135316418775"/>
        </c:manualLayout>
      </c:layout>
      <c:barChart>
        <c:barDir val="bar"/>
        <c:grouping val="clustered"/>
        <c:varyColors val="0"/>
        <c:ser>
          <c:idx val="0"/>
          <c:order val="0"/>
          <c:tx>
            <c:strRef>
              <c:f>Sheet4!$C$22</c:f>
              <c:strCache>
                <c:ptCount val="1"/>
                <c:pt idx="0">
                  <c:v>Sum of Wickets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Sheet4!$B$23:$B$32</c:f>
              <c:strCache>
                <c:ptCount val="10"/>
                <c:pt idx="0">
                  <c:v>Y. Chahal</c:v>
                </c:pt>
                <c:pt idx="1">
                  <c:v>B. Kumar</c:v>
                </c:pt>
                <c:pt idx="2">
                  <c:v>J. Bumrah</c:v>
                </c:pt>
                <c:pt idx="3">
                  <c:v>R. Khan</c:v>
                </c:pt>
                <c:pt idx="4">
                  <c:v>T. Boult</c:v>
                </c:pt>
                <c:pt idx="5">
                  <c:v>M. Siraj</c:v>
                </c:pt>
                <c:pt idx="6">
                  <c:v>D. Chahar</c:v>
                </c:pt>
                <c:pt idx="7">
                  <c:v>A. Singh</c:v>
                </c:pt>
                <c:pt idx="8">
                  <c:v>K. Yadav</c:v>
                </c:pt>
                <c:pt idx="9">
                  <c:v>M. Starc</c:v>
                </c:pt>
              </c:strCache>
            </c:strRef>
          </c:cat>
          <c:val>
            <c:numRef>
              <c:f>Sheet4!$C$23:$C$32</c:f>
              <c:numCache>
                <c:formatCode>General</c:formatCode>
                <c:ptCount val="10"/>
                <c:pt idx="0">
                  <c:v>190</c:v>
                </c:pt>
                <c:pt idx="1">
                  <c:v>170</c:v>
                </c:pt>
                <c:pt idx="2">
                  <c:v>150</c:v>
                </c:pt>
                <c:pt idx="3">
                  <c:v>140</c:v>
                </c:pt>
                <c:pt idx="4">
                  <c:v>120</c:v>
                </c:pt>
                <c:pt idx="5">
                  <c:v>100</c:v>
                </c:pt>
                <c:pt idx="6">
                  <c:v>90</c:v>
                </c:pt>
                <c:pt idx="7">
                  <c:v>90</c:v>
                </c:pt>
                <c:pt idx="8">
                  <c:v>90</c:v>
                </c:pt>
                <c:pt idx="9">
                  <c:v>60</c:v>
                </c:pt>
              </c:numCache>
            </c:numRef>
          </c:val>
          <c:extLst>
            <c:ext xmlns:c16="http://schemas.microsoft.com/office/drawing/2014/chart" uri="{C3380CC4-5D6E-409C-BE32-E72D297353CC}">
              <c16:uniqueId val="{00000000-70F4-4DB5-9E95-CE5738D0F570}"/>
            </c:ext>
          </c:extLst>
        </c:ser>
        <c:dLbls>
          <c:dLblPos val="outEnd"/>
          <c:showLegendKey val="0"/>
          <c:showVal val="1"/>
          <c:showCatName val="0"/>
          <c:showSerName val="0"/>
          <c:showPercent val="0"/>
          <c:showBubbleSize val="0"/>
        </c:dLbls>
        <c:gapWidth val="100"/>
        <c:axId val="518902736"/>
        <c:axId val="518901776"/>
      </c:barChart>
      <c:catAx>
        <c:axId val="518902736"/>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8901776"/>
        <c:crosses val="autoZero"/>
        <c:auto val="1"/>
        <c:lblAlgn val="ctr"/>
        <c:lblOffset val="100"/>
        <c:noMultiLvlLbl val="0"/>
      </c:catAx>
      <c:valAx>
        <c:axId val="518901776"/>
        <c:scaling>
          <c:orientation val="minMax"/>
        </c:scaling>
        <c:delete val="0"/>
        <c:axPos val="t"/>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890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[IPL_50_real_players.xlsx]Sheet4!win</c:name>
    <c:fmtId val="3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400">
                <a:solidFill>
                  <a:schemeClr val="tx1"/>
                </a:solidFill>
              </a:rPr>
              <a:t>HIGHEST</a:t>
            </a:r>
            <a:r>
              <a:rPr lang="en-US" sz="1400" baseline="0">
                <a:solidFill>
                  <a:schemeClr val="tx1"/>
                </a:solidFill>
              </a:rPr>
              <a:t> TEAM WIN % OVER LAST 2 YEARS</a:t>
            </a:r>
            <a:endParaRPr lang="en-US" sz="1400">
              <a:solidFill>
                <a:schemeClr val="tx1"/>
              </a:solidFill>
            </a:endParaRPr>
          </a:p>
        </c:rich>
      </c:tx>
      <c:layout>
        <c:manualLayout>
          <c:xMode val="edge"/>
          <c:yMode val="edge"/>
          <c:x val="0.1362845581802275"/>
          <c:y val="0.12860892388451445"/>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FF0000"/>
                  </a:solidFill>
                  <a:latin typeface="+mj-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8055555555555555"/>
              <c:y val="8.1018518518518476E-2"/>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RCB</a:t>
                </a:r>
                <a:r>
                  <a:rPr lang="en-US" sz="1100" b="1" baseline="0">
                    <a:solidFill>
                      <a:schemeClr val="bg1"/>
                    </a:solidFill>
                    <a:latin typeface="+mj-lt"/>
                  </a:rPr>
                  <a:t> </a:t>
                </a:r>
              </a:p>
              <a:p>
                <a:pPr>
                  <a:defRPr sz="1100" b="1" i="0" u="none" strike="noStrike" kern="1200" spc="0" baseline="0">
                    <a:solidFill>
                      <a:schemeClr val="bg1"/>
                    </a:solidFill>
                    <a:latin typeface="+mj-lt"/>
                    <a:ea typeface="+mn-ea"/>
                    <a:cs typeface="+mn-cs"/>
                  </a:defRPr>
                </a:pPr>
                <a:r>
                  <a:rPr lang="en-US" sz="1100" b="1" baseline="0">
                    <a:solidFill>
                      <a:schemeClr val="bg1"/>
                    </a:solidFill>
                    <a:latin typeface="+mj-lt"/>
                  </a:rPr>
                  <a:t>64.14%</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2844444444444446"/>
                  <c:h val="0.25189814814814815"/>
                </c:manualLayout>
              </c15:layout>
              <c15:showDataLabelsRange val="0"/>
            </c:ext>
          </c:extLst>
        </c:dLbl>
      </c:pivotFmt>
      <c:pivotFmt>
        <c:idx val="2"/>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111111111111112"/>
              <c:y val="6.9444444444444448E-2"/>
            </c:manualLayout>
          </c:layout>
          <c:tx>
            <c:rich>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CSK</a:t>
                </a:r>
              </a:p>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71.43%</a:t>
                </a:r>
              </a:p>
            </c:rich>
          </c:tx>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3"/>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69444444444444"/>
              <c:y val="-0.27083333333333337"/>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MI</a:t>
                </a:r>
                <a:r>
                  <a:rPr lang="en-US" sz="1100" b="1" baseline="0">
                    <a:solidFill>
                      <a:schemeClr val="bg1"/>
                    </a:solidFill>
                    <a:latin typeface="+mj-lt"/>
                  </a:rPr>
                  <a:t> </a:t>
                </a:r>
              </a:p>
              <a:p>
                <a:pPr>
                  <a:defRPr sz="1100" b="1" i="0" u="none" strike="noStrike" kern="1200" spc="0" baseline="0">
                    <a:solidFill>
                      <a:schemeClr val="bg1"/>
                    </a:solidFill>
                    <a:latin typeface="+mj-lt"/>
                    <a:ea typeface="+mn-ea"/>
                    <a:cs typeface="+mn-cs"/>
                  </a:defRPr>
                </a:pPr>
                <a:r>
                  <a:rPr lang="en-US" sz="1100" b="1" baseline="0">
                    <a:solidFill>
                      <a:schemeClr val="bg1"/>
                    </a:solidFill>
                    <a:latin typeface="+mj-lt"/>
                  </a:rPr>
                  <a:t>64.29%</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900000000000001"/>
                  <c:h val="0.15930555555555553"/>
                </c:manualLayout>
              </c15:layout>
              <c15:showDataLabelsRange val="0"/>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FF0000"/>
                  </a:solidFill>
                  <a:latin typeface="+mj-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111111111111112"/>
              <c:y val="6.9444444444444448E-2"/>
            </c:manualLayout>
          </c:layout>
          <c:tx>
            <c:rich>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CSK</a:t>
                </a:r>
              </a:p>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71.43%</a:t>
                </a:r>
              </a:p>
            </c:rich>
          </c:tx>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6"/>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69444444444444"/>
              <c:y val="-0.27083333333333337"/>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MI</a:t>
                </a:r>
                <a:r>
                  <a:rPr lang="en-US" sz="1100" b="1" baseline="0">
                    <a:solidFill>
                      <a:schemeClr val="bg1"/>
                    </a:solidFill>
                    <a:latin typeface="+mj-lt"/>
                  </a:rPr>
                  <a:t> </a:t>
                </a:r>
              </a:p>
              <a:p>
                <a:pPr>
                  <a:defRPr sz="1100" b="1" i="0" u="none" strike="noStrike" kern="1200" spc="0" baseline="0">
                    <a:solidFill>
                      <a:schemeClr val="bg1"/>
                    </a:solidFill>
                    <a:latin typeface="+mj-lt"/>
                    <a:ea typeface="+mn-ea"/>
                    <a:cs typeface="+mn-cs"/>
                  </a:defRPr>
                </a:pPr>
                <a:r>
                  <a:rPr lang="en-US" sz="1100" b="1" baseline="0">
                    <a:solidFill>
                      <a:schemeClr val="bg1"/>
                    </a:solidFill>
                    <a:latin typeface="+mj-lt"/>
                  </a:rPr>
                  <a:t>64.29%</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900000000000001"/>
                  <c:h val="0.15930555555555553"/>
                </c:manualLayout>
              </c15:layout>
              <c15:showDataLabelsRange val="0"/>
            </c:ext>
          </c:extLst>
        </c:dLbl>
      </c:pivotFmt>
      <c:pivotFmt>
        <c:idx val="7"/>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8055555555555555"/>
              <c:y val="8.1018518518518476E-2"/>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RCB</a:t>
                </a:r>
                <a:r>
                  <a:rPr lang="en-US" sz="1100" b="1" baseline="0">
                    <a:solidFill>
                      <a:schemeClr val="bg1"/>
                    </a:solidFill>
                    <a:latin typeface="+mj-lt"/>
                  </a:rPr>
                  <a:t> </a:t>
                </a:r>
              </a:p>
              <a:p>
                <a:pPr>
                  <a:defRPr sz="1100" b="1" i="0" u="none" strike="noStrike" kern="1200" spc="0" baseline="0">
                    <a:solidFill>
                      <a:schemeClr val="bg1"/>
                    </a:solidFill>
                    <a:latin typeface="+mj-lt"/>
                    <a:ea typeface="+mn-ea"/>
                    <a:cs typeface="+mn-cs"/>
                  </a:defRPr>
                </a:pPr>
                <a:r>
                  <a:rPr lang="en-US" sz="1100" b="1" baseline="0">
                    <a:solidFill>
                      <a:schemeClr val="bg1"/>
                    </a:solidFill>
                    <a:latin typeface="+mj-lt"/>
                  </a:rPr>
                  <a:t>64.14%</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2844444444444446"/>
                  <c:h val="0.25189814814814815"/>
                </c:manualLayout>
              </c15:layout>
              <c15:showDataLabelsRange val="0"/>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FF0000"/>
                  </a:solidFill>
                  <a:latin typeface="+mj-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6111111111111112"/>
              <c:y val="6.9444444444444448E-2"/>
            </c:manualLayout>
          </c:layout>
          <c:tx>
            <c:rich>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CSK</a:t>
                </a:r>
              </a:p>
              <a:p>
                <a:pPr>
                  <a:defRPr sz="1100">
                    <a:solidFill>
                      <a:schemeClr val="tx1">
                        <a:lumMod val="95000"/>
                        <a:lumOff val="5000"/>
                      </a:schemeClr>
                    </a:solidFill>
                    <a:latin typeface="+mj-lt"/>
                  </a:defRPr>
                </a:pPr>
                <a:r>
                  <a:rPr lang="en-US" sz="1100" b="1">
                    <a:solidFill>
                      <a:schemeClr val="tx1">
                        <a:lumMod val="95000"/>
                        <a:lumOff val="5000"/>
                      </a:schemeClr>
                    </a:solidFill>
                    <a:latin typeface="+mj-lt"/>
                  </a:rPr>
                  <a:t>71.43%</a:t>
                </a:r>
              </a:p>
            </c:rich>
          </c:tx>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0"/>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069444444444444"/>
              <c:y val="-0.27083333333333337"/>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MI</a:t>
                </a:r>
                <a:r>
                  <a:rPr lang="en-US" sz="1100" b="1" baseline="0">
                    <a:solidFill>
                      <a:schemeClr val="bg1"/>
                    </a:solidFill>
                    <a:latin typeface="+mj-lt"/>
                  </a:rPr>
                  <a:t> </a:t>
                </a:r>
              </a:p>
              <a:p>
                <a:pPr>
                  <a:defRPr sz="1100">
                    <a:solidFill>
                      <a:schemeClr val="bg1"/>
                    </a:solidFill>
                    <a:latin typeface="+mj-lt"/>
                  </a:defRPr>
                </a:pPr>
                <a:r>
                  <a:rPr lang="en-US" sz="1100" b="1" baseline="0">
                    <a:solidFill>
                      <a:schemeClr val="bg1"/>
                    </a:solidFill>
                    <a:latin typeface="+mj-lt"/>
                  </a:rPr>
                  <a:t>64.29%</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900000000000001"/>
                  <c:h val="0.15930555555555553"/>
                </c:manualLayout>
              </c15:layout>
              <c15:showDataLabelsRange val="0"/>
            </c:ext>
          </c:extLst>
        </c:dLbl>
      </c:pivotFmt>
      <c:pivotFmt>
        <c:idx val="11"/>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8055555555555555"/>
              <c:y val="8.1018518518518476E-2"/>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RCB</a:t>
                </a:r>
                <a:r>
                  <a:rPr lang="en-US" sz="1100" b="1" baseline="0">
                    <a:solidFill>
                      <a:schemeClr val="bg1"/>
                    </a:solidFill>
                    <a:latin typeface="+mj-lt"/>
                  </a:rPr>
                  <a:t> </a:t>
                </a:r>
              </a:p>
              <a:p>
                <a:pPr>
                  <a:defRPr sz="1100">
                    <a:solidFill>
                      <a:schemeClr val="bg1"/>
                    </a:solidFill>
                    <a:latin typeface="+mj-lt"/>
                  </a:defRPr>
                </a:pPr>
                <a:r>
                  <a:rPr lang="en-US" sz="1100" b="1" baseline="0">
                    <a:solidFill>
                      <a:schemeClr val="bg1"/>
                    </a:solidFill>
                    <a:latin typeface="+mj-lt"/>
                  </a:rPr>
                  <a:t>64.14%</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2844444444444446"/>
                  <c:h val="0.25189814814814815"/>
                </c:manualLayout>
              </c15:layout>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77777777777776E-2"/>
          <c:y val="0.32310258092738409"/>
          <c:w val="0.81388888888888888"/>
          <c:h val="0.57745005832604257"/>
        </c:manualLayout>
      </c:layout>
      <c:pie3DChart>
        <c:varyColors val="1"/>
        <c:ser>
          <c:idx val="0"/>
          <c:order val="0"/>
          <c:tx>
            <c:strRef>
              <c:f>Sheet4!$H$3</c:f>
              <c:strCache>
                <c:ptCount val="1"/>
                <c:pt idx="0">
                  <c:v>Total</c:v>
                </c:pt>
              </c:strCache>
            </c:strRef>
          </c:tx>
          <c:dPt>
            <c:idx val="0"/>
            <c:bubble3D val="0"/>
            <c:spPr>
              <a:solidFill>
                <a:srgbClr val="FFFF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9F4-46DE-91C1-AFA563529BA4}"/>
              </c:ext>
            </c:extLst>
          </c:dPt>
          <c:dPt>
            <c:idx val="1"/>
            <c:bubble3D val="0"/>
            <c:spPr>
              <a:solidFill>
                <a:srgbClr val="0070C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89F4-46DE-91C1-AFA563529BA4}"/>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9F4-46DE-91C1-AFA563529BA4}"/>
              </c:ext>
            </c:extLst>
          </c:dPt>
          <c:dLbls>
            <c:dLbl>
              <c:idx val="0"/>
              <c:layout>
                <c:manualLayout>
                  <c:x val="-0.16111111111111112"/>
                  <c:y val="6.9444444444444448E-2"/>
                </c:manualLayout>
              </c:layout>
              <c:tx>
                <c:rich>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r>
                      <a:rPr lang="en-US" sz="1100" b="1">
                        <a:solidFill>
                          <a:schemeClr val="tx1">
                            <a:lumMod val="95000"/>
                            <a:lumOff val="5000"/>
                          </a:schemeClr>
                        </a:solidFill>
                        <a:latin typeface="+mj-lt"/>
                      </a:rPr>
                      <a:t>CSK</a:t>
                    </a:r>
                  </a:p>
                  <a:p>
                    <a:pPr>
                      <a:defRPr sz="1100">
                        <a:solidFill>
                          <a:schemeClr val="tx1">
                            <a:lumMod val="95000"/>
                            <a:lumOff val="5000"/>
                          </a:schemeClr>
                        </a:solidFill>
                        <a:latin typeface="+mj-lt"/>
                      </a:defRPr>
                    </a:pPr>
                    <a:r>
                      <a:rPr lang="en-US" sz="1100" b="1">
                        <a:solidFill>
                          <a:schemeClr val="tx1">
                            <a:lumMod val="95000"/>
                            <a:lumOff val="5000"/>
                          </a:schemeClr>
                        </a:solidFill>
                        <a:latin typeface="+mj-lt"/>
                      </a:rPr>
                      <a:t>71.43%</a:t>
                    </a:r>
                  </a:p>
                </c:rich>
              </c:tx>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chemeClr val="tx1">
                          <a:lumMod val="95000"/>
                          <a:lumOff val="5000"/>
                        </a:schemeClr>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9F4-46DE-91C1-AFA563529BA4}"/>
                </c:ext>
              </c:extLst>
            </c:dLbl>
            <c:dLbl>
              <c:idx val="1"/>
              <c:layout>
                <c:manualLayout>
                  <c:x val="0.1069444444444444"/>
                  <c:y val="-0.27083333333333337"/>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MI</a:t>
                    </a:r>
                    <a:r>
                      <a:rPr lang="en-US" sz="1100" b="1" baseline="0">
                        <a:solidFill>
                          <a:schemeClr val="bg1"/>
                        </a:solidFill>
                        <a:latin typeface="+mj-lt"/>
                      </a:rPr>
                      <a:t> </a:t>
                    </a:r>
                  </a:p>
                  <a:p>
                    <a:pPr>
                      <a:defRPr sz="1100">
                        <a:solidFill>
                          <a:schemeClr val="bg1"/>
                        </a:solidFill>
                        <a:latin typeface="+mj-lt"/>
                      </a:defRPr>
                    </a:pPr>
                    <a:r>
                      <a:rPr lang="en-US" sz="1100" b="1" baseline="0">
                        <a:solidFill>
                          <a:schemeClr val="bg1"/>
                        </a:solidFill>
                        <a:latin typeface="+mj-lt"/>
                      </a:rPr>
                      <a:t>64.29%</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5900000000000001"/>
                      <c:h val="0.15930555555555553"/>
                    </c:manualLayout>
                  </c15:layout>
                  <c15:showDataLabelsRange val="0"/>
                </c:ext>
                <c:ext xmlns:c16="http://schemas.microsoft.com/office/drawing/2014/chart" uri="{C3380CC4-5D6E-409C-BE32-E72D297353CC}">
                  <c16:uniqueId val="{0000000A-89F4-46DE-91C1-AFA563529BA4}"/>
                </c:ext>
              </c:extLst>
            </c:dLbl>
            <c:dLbl>
              <c:idx val="2"/>
              <c:layout>
                <c:manualLayout>
                  <c:x val="0.18055555555555555"/>
                  <c:y val="8.1018518518518476E-2"/>
                </c:manualLayout>
              </c:layout>
              <c:tx>
                <c:rich>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r>
                      <a:rPr lang="en-US" sz="1100" b="1">
                        <a:solidFill>
                          <a:schemeClr val="bg1"/>
                        </a:solidFill>
                        <a:latin typeface="+mj-lt"/>
                      </a:rPr>
                      <a:t>RCB</a:t>
                    </a:r>
                    <a:r>
                      <a:rPr lang="en-US" sz="1100" b="1" baseline="0">
                        <a:solidFill>
                          <a:schemeClr val="bg1"/>
                        </a:solidFill>
                        <a:latin typeface="+mj-lt"/>
                      </a:rPr>
                      <a:t> </a:t>
                    </a:r>
                  </a:p>
                  <a:p>
                    <a:pPr>
                      <a:defRPr sz="1100">
                        <a:solidFill>
                          <a:schemeClr val="bg1"/>
                        </a:solidFill>
                        <a:latin typeface="+mj-lt"/>
                      </a:defRPr>
                    </a:pPr>
                    <a:r>
                      <a:rPr lang="en-US" sz="1100" b="1" baseline="0">
                        <a:solidFill>
                          <a:schemeClr val="bg1"/>
                        </a:solidFill>
                        <a:latin typeface="+mj-lt"/>
                      </a:rPr>
                      <a:t>64.14%</a:t>
                    </a:r>
                    <a:endParaRPr lang="en-US" sz="1100" b="1">
                      <a:solidFill>
                        <a:schemeClr val="bg1"/>
                      </a:solidFill>
                      <a:latin typeface="+mj-lt"/>
                    </a:endParaRPr>
                  </a:p>
                </c:rich>
              </c:tx>
              <c:spPr>
                <a:noFill/>
                <a:ln>
                  <a:noFill/>
                </a:ln>
                <a:effectLst>
                  <a:glow rad="127000">
                    <a:schemeClr val="bg1"/>
                  </a:glow>
                </a:effectLst>
              </c:spPr>
              <c:txPr>
                <a:bodyPr rot="0" spcFirstLastPara="1" vertOverflow="ellipsis" vert="horz" wrap="square" lIns="38100" tIns="19050" rIns="38100" bIns="19050" anchor="ctr" anchorCtr="1">
                  <a:noAutofit/>
                </a:bodyPr>
                <a:lstStyle/>
                <a:p>
                  <a:pPr>
                    <a:defRPr sz="1100" b="1" i="0" u="none" strike="noStrike" kern="1200" spc="0" baseline="0">
                      <a:solidFill>
                        <a:schemeClr val="bg1"/>
                      </a:solidFill>
                      <a:latin typeface="+mj-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2844444444444446"/>
                      <c:h val="0.25189814814814815"/>
                    </c:manualLayout>
                  </c15:layout>
                  <c15:showDataLabelsRange val="0"/>
                </c:ext>
                <c:ext xmlns:c16="http://schemas.microsoft.com/office/drawing/2014/chart" uri="{C3380CC4-5D6E-409C-BE32-E72D297353CC}">
                  <c16:uniqueId val="{0000000B-89F4-46DE-91C1-AFA563529BA4}"/>
                </c:ext>
              </c:extLst>
            </c:dLbl>
            <c:spPr>
              <a:noFill/>
              <a:ln>
                <a:noFill/>
              </a:ln>
              <a:effectLst>
                <a:glow rad="127000">
                  <a:schemeClr val="bg1"/>
                </a:glow>
              </a:effectLst>
            </c:spPr>
            <c:txPr>
              <a:bodyPr rot="0" spcFirstLastPara="1" vertOverflow="ellipsis" vert="horz" wrap="square" lIns="38100" tIns="19050" rIns="38100" bIns="19050" anchor="ctr" anchorCtr="1">
                <a:spAutoFit/>
              </a:bodyPr>
              <a:lstStyle/>
              <a:p>
                <a:pPr>
                  <a:defRPr sz="1100" b="1" i="0" u="none" strike="noStrike" kern="1200" spc="0" baseline="0">
                    <a:solidFill>
                      <a:srgbClr val="FF0000"/>
                    </a:solidFill>
                    <a:latin typeface="+mj-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Sheet4!$G$4:$G$7</c:f>
              <c:strCache>
                <c:ptCount val="3"/>
                <c:pt idx="0">
                  <c:v>Chennai Super Kings</c:v>
                </c:pt>
                <c:pt idx="1">
                  <c:v>Mumbai Indians</c:v>
                </c:pt>
                <c:pt idx="2">
                  <c:v>Royal Challengers Bangalore</c:v>
                </c:pt>
              </c:strCache>
            </c:strRef>
          </c:cat>
          <c:val>
            <c:numRef>
              <c:f>Sheet4!$H$4:$H$7</c:f>
              <c:numCache>
                <c:formatCode>0.00</c:formatCode>
                <c:ptCount val="3"/>
                <c:pt idx="0">
                  <c:v>71.428571430000005</c:v>
                </c:pt>
                <c:pt idx="1">
                  <c:v>64.285714290000001</c:v>
                </c:pt>
                <c:pt idx="2">
                  <c:v>64.142857140000004</c:v>
                </c:pt>
              </c:numCache>
            </c:numRef>
          </c:val>
          <c:extLst>
            <c:ext xmlns:c16="http://schemas.microsoft.com/office/drawing/2014/chart" uri="{C3380CC4-5D6E-409C-BE32-E72D297353CC}">
              <c16:uniqueId val="{00000008-89F4-46DE-91C1-AFA563529BA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[IPL_50_real_players.xlsx]Sheet4!lose</c:name>
    <c:fmtId val="51"/>
  </c:pivotSource>
  <c:chart>
    <c:title>
      <c:tx>
        <c:rich>
          <a:bodyPr rot="0" spcFirstLastPara="1" vertOverflow="ellipsis" vert="horz" wrap="square" anchor="ctr" anchorCtr="1"/>
          <a:lstStyle/>
          <a:p>
            <a:pPr>
              <a:defRPr lang="en-US" sz="1440" b="1" i="0" u="none" strike="noStrike" kern="1200" baseline="0">
                <a:solidFill>
                  <a:schemeClr val="bg1"/>
                </a:solidFill>
                <a:latin typeface="+mn-lt"/>
                <a:ea typeface="+mn-ea"/>
                <a:cs typeface="+mn-cs"/>
              </a:defRPr>
            </a:pPr>
            <a:r>
              <a:rPr lang="en-IN" sz="1400" b="1">
                <a:solidFill>
                  <a:schemeClr val="tx1"/>
                </a:solidFill>
              </a:rPr>
              <a:t>HIGHEST</a:t>
            </a:r>
            <a:r>
              <a:rPr lang="en-IN" sz="1400" b="1" baseline="0">
                <a:solidFill>
                  <a:schemeClr val="tx1"/>
                </a:solidFill>
              </a:rPr>
              <a:t> TEAM LOSS % OVER LAST 2 YEARS</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lang="en-US" sz="144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1653652668416448"/>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fld id="{FF159F63-586A-491F-84D5-8047B224FC7E}" type="VALUE">
                  <a:rPr lang="en-US"/>
                  <a:pPr algn="ctr" rtl="0">
                    <a:defRPr lang="en-US"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4722222222222223"/>
                  <c:h val="0.16319444444444445"/>
                </c:manualLayout>
              </c15:layout>
              <c15:dlblFieldTable/>
              <c15:showDataLabelsRange val="0"/>
            </c:ext>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FF339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fld id="{D91F46E0-DED5-4F4E-8822-C13081B5B1BF}" type="VALUE">
                  <a:rPr lang="en-US" sz="1200" b="1" i="0" u="none" strike="noStrike" kern="1200" baseline="0">
                    <a:solidFill>
                      <a:schemeClr val="bg1"/>
                    </a:solidFill>
                    <a:latin typeface="+mn-lt"/>
                    <a:ea typeface="+mn-ea"/>
                    <a:cs typeface="+mn-cs"/>
                  </a:rPr>
                  <a:pPr algn="ctr" rtl="0">
                    <a:defRPr lang="en-US"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1653652668416448"/>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fld id="{FF159F63-586A-491F-84D5-8047B224FC7E}" type="VALUE">
                  <a:rPr lang="en-US"/>
                  <a:pPr algn="ctr" rtl="0">
                    <a:defRPr lang="en-US"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layout>
                <c:manualLayout>
                  <c:w val="0.14722222222222223"/>
                  <c:h val="0.16319444444444445"/>
                </c:manualLayout>
              </c15:layout>
              <c15:dlblFieldTable/>
              <c15:showDataLabelsRange val="0"/>
            </c:ext>
          </c:extLst>
        </c:dLbl>
      </c:pivotFmt>
      <c:pivotFmt>
        <c:idx val="8"/>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fld id="{D91F46E0-DED5-4F4E-8822-C13081B5B1BF}" type="VALUE">
                  <a:rPr lang="en-US" sz="1200" b="1" i="0" u="none" strike="noStrike" kern="1200" baseline="0">
                    <a:solidFill>
                      <a:schemeClr val="bg1"/>
                    </a:solidFill>
                    <a:latin typeface="+mn-lt"/>
                    <a:ea typeface="+mn-ea"/>
                    <a:cs typeface="+mn-cs"/>
                  </a:rPr>
                  <a:pPr algn="ctr" rtl="0">
                    <a:defRPr lang="en-US" sz="1200" b="1" i="0" u="none" strike="noStrike" kern="1200" baseline="0">
                      <a:solidFill>
                        <a:schemeClr val="bg1"/>
                      </a:solidFill>
                      <a:latin typeface="+mn-lt"/>
                      <a:ea typeface="+mn-ea"/>
                      <a:cs typeface="+mn-cs"/>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IN"/>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FF339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5"/>
              <c:y val="8.5672207640711581E-2"/>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r>
                  <a:rPr lang="en-US"/>
                  <a:t>SRH</a:t>
                </a:r>
              </a:p>
              <a:p>
                <a:pPr algn="ctr" rtl="0">
                  <a:defRPr/>
                </a:pPr>
                <a:r>
                  <a:rPr lang="en-US"/>
                  <a:t>26.47%</a:t>
                </a:r>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166666666666666"/>
                  <c:h val="0.21875"/>
                </c:manualLayout>
              </c15:layout>
              <c15:showDataLabelsRange val="0"/>
            </c:ext>
          </c:extLst>
        </c:dLbl>
      </c:pivotFmt>
      <c:pivotFmt>
        <c:idx val="1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7222222222222222"/>
              <c:y val="-0.21653652668416448"/>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r>
                  <a:rPr lang="en-US"/>
                  <a:t>PBKS</a:t>
                </a:r>
              </a:p>
              <a:p>
                <a:pPr algn="ctr" rtl="0">
                  <a:defRPr/>
                </a:pPr>
                <a:r>
                  <a:rPr lang="en-US"/>
                  <a:t>26.47%</a:t>
                </a:r>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4722222222222223"/>
                  <c:h val="0.16319444444444445"/>
                </c:manualLayout>
              </c15:layout>
              <c15:showDataLabelsRange val="0"/>
            </c:ext>
          </c:extLst>
        </c:dLbl>
      </c:pivotFmt>
      <c:pivotFmt>
        <c:idx val="1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168449256342957"/>
              <c:y val="-0.17783428113152522"/>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r>
                  <a:rPr lang="en-US" sz="1200" b="1" i="0" u="none" strike="noStrike" kern="1200" baseline="0">
                    <a:solidFill>
                      <a:schemeClr val="bg1"/>
                    </a:solidFill>
                    <a:latin typeface="+mn-lt"/>
                    <a:ea typeface="+mn-ea"/>
                    <a:cs typeface="+mn-cs"/>
                  </a:rPr>
                  <a:t>DC</a:t>
                </a:r>
              </a:p>
              <a:p>
                <a:pPr algn="ctr" rtl="0">
                  <a:defRPr/>
                </a:pPr>
                <a:fld id="{D91F46E0-DED5-4F4E-8822-C13081B5B1BF}" type="VALUE">
                  <a:rPr lang="en-US" sz="1200" b="1" i="0" u="none" strike="noStrike" kern="1200" baseline="0">
                    <a:solidFill>
                      <a:schemeClr val="bg1"/>
                    </a:solidFill>
                    <a:latin typeface="+mn-lt"/>
                    <a:ea typeface="+mn-ea"/>
                    <a:cs typeface="+mn-cs"/>
                  </a:rPr>
                  <a:pPr algn="ctr" rtl="0">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FF339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204374453193352"/>
              <c:y val="8.9711286089238881E-2"/>
            </c:manualLayout>
          </c:layout>
          <c:tx>
            <c:rich>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r>
                  <a:rPr lang="en-US"/>
                  <a:t>RR</a:t>
                </a:r>
              </a:p>
              <a:p>
                <a:pPr algn="ctr" rtl="0">
                  <a:defRPr/>
                </a:pPr>
                <a:fld id="{719B9740-01CC-4207-B8A2-836155D20EF5}" type="VALUE">
                  <a:rPr lang="en-US"/>
                  <a:pPr algn="ctr" rtl="0">
                    <a:defRPr/>
                  </a:pPr>
                  <a:t>[VALUE]</a:t>
                </a:fld>
                <a:endParaRPr lang="en-IN"/>
              </a:p>
            </c:rich>
          </c:tx>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Sheet4!$I$10</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4D6-42C6-81B1-B36EA47A8207}"/>
              </c:ext>
            </c:extLst>
          </c:dPt>
          <c:dPt>
            <c:idx val="1"/>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4D6-42C6-81B1-B36EA47A8207}"/>
              </c:ext>
            </c:extLst>
          </c:dPt>
          <c:dPt>
            <c:idx val="2"/>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4D6-42C6-81B1-B36EA47A8207}"/>
              </c:ext>
            </c:extLst>
          </c:dPt>
          <c:dPt>
            <c:idx val="3"/>
            <c:bubble3D val="0"/>
            <c:spPr>
              <a:solidFill>
                <a:srgbClr val="FF339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4D6-42C6-81B1-B36EA47A8207}"/>
              </c:ext>
            </c:extLst>
          </c:dPt>
          <c:dLbls>
            <c:dLbl>
              <c:idx val="0"/>
              <c:layout>
                <c:manualLayout>
                  <c:x val="-0.15"/>
                  <c:y val="8.5672207640711581E-2"/>
                </c:manualLayout>
              </c:layout>
              <c:tx>
                <c:rich>
                  <a:bodyPr/>
                  <a:lstStyle/>
                  <a:p>
                    <a:r>
                      <a:rPr lang="en-US"/>
                      <a:t>SRH</a:t>
                    </a:r>
                  </a:p>
                  <a:p>
                    <a:r>
                      <a:rPr lang="en-US"/>
                      <a:t>26.47%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4166666666666666"/>
                      <c:h val="0.21875"/>
                    </c:manualLayout>
                  </c15:layout>
                  <c15:showDataLabelsRange val="0"/>
                </c:ext>
                <c:ext xmlns:c16="http://schemas.microsoft.com/office/drawing/2014/chart" uri="{C3380CC4-5D6E-409C-BE32-E72D297353CC}">
                  <c16:uniqueId val="{00000001-B4D6-42C6-81B1-B36EA47A8207}"/>
                </c:ext>
              </c:extLst>
            </c:dLbl>
            <c:dLbl>
              <c:idx val="1"/>
              <c:layout>
                <c:manualLayout>
                  <c:x val="-0.17222222222222222"/>
                  <c:y val="-0.21653652668416448"/>
                </c:manualLayout>
              </c:layout>
              <c:tx>
                <c:rich>
                  <a:bodyPr/>
                  <a:lstStyle/>
                  <a:p>
                    <a:r>
                      <a:rPr lang="en-US"/>
                      <a:t>PBKS</a:t>
                    </a:r>
                  </a:p>
                  <a:p>
                    <a:r>
                      <a:rPr lang="en-US"/>
                      <a:t>26.47%</a:t>
                    </a:r>
                  </a:p>
                </c:rich>
              </c:tx>
              <c:dLblPos val="bestFit"/>
              <c:showLegendKey val="0"/>
              <c:showVal val="1"/>
              <c:showCatName val="0"/>
              <c:showSerName val="0"/>
              <c:showPercent val="0"/>
              <c:showBubbleSize val="0"/>
              <c:extLst>
                <c:ext xmlns:c15="http://schemas.microsoft.com/office/drawing/2012/chart" uri="{CE6537A1-D6FC-4f65-9D91-7224C49458BB}">
                  <c15:layout>
                    <c:manualLayout>
                      <c:w val="0.14722222222222223"/>
                      <c:h val="0.16319444444444445"/>
                    </c:manualLayout>
                  </c15:layout>
                  <c15:showDataLabelsRange val="0"/>
                </c:ext>
                <c:ext xmlns:c16="http://schemas.microsoft.com/office/drawing/2014/chart" uri="{C3380CC4-5D6E-409C-BE32-E72D297353CC}">
                  <c16:uniqueId val="{00000003-B4D6-42C6-81B1-B36EA47A8207}"/>
                </c:ext>
              </c:extLst>
            </c:dLbl>
            <c:dLbl>
              <c:idx val="2"/>
              <c:layout>
                <c:manualLayout>
                  <c:x val="0.16168449256342957"/>
                  <c:y val="-0.17783428113152522"/>
                </c:manualLayout>
              </c:layout>
              <c:tx>
                <c:rich>
                  <a:bodyPr/>
                  <a:lstStyle/>
                  <a:p>
                    <a:r>
                      <a:rPr lang="en-US" sz="1200" b="1" i="0" u="none" strike="noStrike" kern="1200" baseline="0">
                        <a:solidFill>
                          <a:schemeClr val="bg1"/>
                        </a:solidFill>
                        <a:latin typeface="+mn-lt"/>
                        <a:ea typeface="+mn-ea"/>
                        <a:cs typeface="+mn-cs"/>
                      </a:rPr>
                      <a:t>DC</a:t>
                    </a:r>
                  </a:p>
                  <a:p>
                    <a:fld id="{D91F46E0-DED5-4F4E-8822-C13081B5B1BF}" type="VALUE">
                      <a:rPr lang="en-US" sz="1200" b="1" i="0" u="none" strike="noStrike" kern="1200" baseline="0">
                        <a:solidFill>
                          <a:schemeClr val="bg1"/>
                        </a:solidFill>
                        <a:latin typeface="+mn-lt"/>
                        <a:ea typeface="+mn-ea"/>
                        <a:cs typeface="+mn-cs"/>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4D6-42C6-81B1-B36EA47A8207}"/>
                </c:ext>
              </c:extLst>
            </c:dLbl>
            <c:dLbl>
              <c:idx val="3"/>
              <c:layout>
                <c:manualLayout>
                  <c:x val="0.13204374453193352"/>
                  <c:y val="8.9711286089238881E-2"/>
                </c:manualLayout>
              </c:layout>
              <c:tx>
                <c:rich>
                  <a:bodyPr/>
                  <a:lstStyle/>
                  <a:p>
                    <a:r>
                      <a:rPr lang="en-US"/>
                      <a:t>RR</a:t>
                    </a:r>
                  </a:p>
                  <a:p>
                    <a:fld id="{719B9740-01CC-4207-B8A2-836155D20EF5}" type="VALUE">
                      <a:rPr lang="en-US"/>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B4D6-42C6-81B1-B36EA47A8207}"/>
                </c:ext>
              </c:extLst>
            </c:dLbl>
            <c:spPr>
              <a:noFill/>
              <a:ln>
                <a:noFill/>
              </a:ln>
              <a:effectLst/>
            </c:spPr>
            <c:txPr>
              <a:bodyPr rot="0" spcFirstLastPara="1" vertOverflow="ellipsis" vert="horz" wrap="square" anchor="ctr" anchorCtr="1"/>
              <a:lstStyle/>
              <a:p>
                <a:pPr algn="ctr" rtl="0">
                  <a:defRPr lang="en-US"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Sheet4!$H$11:$H$15</c:f>
              <c:strCache>
                <c:ptCount val="4"/>
                <c:pt idx="0">
                  <c:v>Sunrisers Hyderabad</c:v>
                </c:pt>
                <c:pt idx="1">
                  <c:v>Punjab Kings</c:v>
                </c:pt>
                <c:pt idx="2">
                  <c:v>Delhi Capitals</c:v>
                </c:pt>
                <c:pt idx="3">
                  <c:v>Rajasthan Royals</c:v>
                </c:pt>
              </c:strCache>
            </c:strRef>
          </c:cat>
          <c:val>
            <c:numRef>
              <c:f>Sheet4!$I$11:$I$15</c:f>
              <c:numCache>
                <c:formatCode>0.00%</c:formatCode>
                <c:ptCount val="4"/>
                <c:pt idx="0">
                  <c:v>0.26470588235294118</c:v>
                </c:pt>
                <c:pt idx="1">
                  <c:v>0.26470588235294118</c:v>
                </c:pt>
                <c:pt idx="2">
                  <c:v>0.23529411764705882</c:v>
                </c:pt>
                <c:pt idx="3">
                  <c:v>0.23529411764705882</c:v>
                </c:pt>
              </c:numCache>
            </c:numRef>
          </c:val>
          <c:extLst>
            <c:ext xmlns:c16="http://schemas.microsoft.com/office/drawing/2014/chart" uri="{C3380CC4-5D6E-409C-BE32-E72D297353CC}">
              <c16:uniqueId val="{00000008-B4D6-42C6-81B1-B36EA47A820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2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127000</xdr:colOff>
      <xdr:row>3</xdr:row>
      <xdr:rowOff>166686</xdr:rowOff>
    </xdr:from>
    <xdr:to>
      <xdr:col>4</xdr:col>
      <xdr:colOff>0</xdr:colOff>
      <xdr:row>72</xdr:row>
      <xdr:rowOff>0</xdr:rowOff>
    </xdr:to>
    <xdr:sp macro="" textlink="">
      <xdr:nvSpPr>
        <xdr:cNvPr id="3" name="Rectangle 2">
          <a:extLst>
            <a:ext uri="{FF2B5EF4-FFF2-40B4-BE49-F238E27FC236}">
              <a16:creationId xmlns:a16="http://schemas.microsoft.com/office/drawing/2014/main" id="{33615DB4-F321-F71B-0AE7-CC6F35CF9F7F}"/>
            </a:ext>
          </a:extLst>
        </xdr:cNvPr>
        <xdr:cNvSpPr/>
      </xdr:nvSpPr>
      <xdr:spPr>
        <a:xfrm>
          <a:off x="127000" y="714374"/>
          <a:ext cx="2317750" cy="12430126"/>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317500</xdr:colOff>
      <xdr:row>13</xdr:row>
      <xdr:rowOff>55562</xdr:rowOff>
    </xdr:from>
    <xdr:to>
      <xdr:col>7</xdr:col>
      <xdr:colOff>595312</xdr:colOff>
      <xdr:row>18</xdr:row>
      <xdr:rowOff>103188</xdr:rowOff>
    </xdr:to>
    <xdr:sp macro="" textlink="">
      <xdr:nvSpPr>
        <xdr:cNvPr id="4" name="Rectangle 3">
          <a:extLst>
            <a:ext uri="{FF2B5EF4-FFF2-40B4-BE49-F238E27FC236}">
              <a16:creationId xmlns:a16="http://schemas.microsoft.com/office/drawing/2014/main" id="{3A2432BA-716E-3A13-D333-465AFDE8AEB3}"/>
            </a:ext>
          </a:extLst>
        </xdr:cNvPr>
        <xdr:cNvSpPr/>
      </xdr:nvSpPr>
      <xdr:spPr>
        <a:xfrm>
          <a:off x="3373438" y="2428875"/>
          <a:ext cx="1500187" cy="9604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174625</xdr:colOff>
      <xdr:row>13</xdr:row>
      <xdr:rowOff>31750</xdr:rowOff>
    </xdr:from>
    <xdr:to>
      <xdr:col>12</xdr:col>
      <xdr:colOff>468311</xdr:colOff>
      <xdr:row>18</xdr:row>
      <xdr:rowOff>119063</xdr:rowOff>
    </xdr:to>
    <xdr:sp macro="" textlink="">
      <xdr:nvSpPr>
        <xdr:cNvPr id="5" name="Rectangle 4">
          <a:extLst>
            <a:ext uri="{FF2B5EF4-FFF2-40B4-BE49-F238E27FC236}">
              <a16:creationId xmlns:a16="http://schemas.microsoft.com/office/drawing/2014/main" id="{9B5AD1E6-34A6-D9D0-FAF2-224BB0EC8FFF}"/>
            </a:ext>
          </a:extLst>
        </xdr:cNvPr>
        <xdr:cNvSpPr/>
      </xdr:nvSpPr>
      <xdr:spPr>
        <a:xfrm>
          <a:off x="6286500" y="2405063"/>
          <a:ext cx="1516061" cy="10001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222249</xdr:colOff>
      <xdr:row>13</xdr:row>
      <xdr:rowOff>103187</xdr:rowOff>
    </xdr:from>
    <xdr:to>
      <xdr:col>17</xdr:col>
      <xdr:colOff>563562</xdr:colOff>
      <xdr:row>18</xdr:row>
      <xdr:rowOff>150813</xdr:rowOff>
    </xdr:to>
    <xdr:sp macro="" textlink="">
      <xdr:nvSpPr>
        <xdr:cNvPr id="6" name="Rectangle 5">
          <a:extLst>
            <a:ext uri="{FF2B5EF4-FFF2-40B4-BE49-F238E27FC236}">
              <a16:creationId xmlns:a16="http://schemas.microsoft.com/office/drawing/2014/main" id="{D24A7092-5F66-3CEE-598D-936CBFEBD788}"/>
            </a:ext>
          </a:extLst>
        </xdr:cNvPr>
        <xdr:cNvSpPr/>
      </xdr:nvSpPr>
      <xdr:spPr>
        <a:xfrm>
          <a:off x="9390062" y="2476500"/>
          <a:ext cx="1563688" cy="96043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388937</xdr:colOff>
      <xdr:row>13</xdr:row>
      <xdr:rowOff>127000</xdr:rowOff>
    </xdr:from>
    <xdr:to>
      <xdr:col>22</xdr:col>
      <xdr:colOff>317500</xdr:colOff>
      <xdr:row>19</xdr:row>
      <xdr:rowOff>15875</xdr:rowOff>
    </xdr:to>
    <xdr:sp macro="" textlink="">
      <xdr:nvSpPr>
        <xdr:cNvPr id="10" name="Rectangle 9">
          <a:extLst>
            <a:ext uri="{FF2B5EF4-FFF2-40B4-BE49-F238E27FC236}">
              <a16:creationId xmlns:a16="http://schemas.microsoft.com/office/drawing/2014/main" id="{8692412F-127B-DC12-FA9D-BE0EEAFCA696}"/>
            </a:ext>
          </a:extLst>
        </xdr:cNvPr>
        <xdr:cNvSpPr/>
      </xdr:nvSpPr>
      <xdr:spPr>
        <a:xfrm>
          <a:off x="12001500" y="2500313"/>
          <a:ext cx="1762125" cy="984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solidFill>
              <a:schemeClr val="tx2"/>
            </a:solidFill>
          </a:endParaRPr>
        </a:p>
      </xdr:txBody>
    </xdr:sp>
    <xdr:clientData/>
  </xdr:twoCellAnchor>
  <xdr:twoCellAnchor>
    <xdr:from>
      <xdr:col>3</xdr:col>
      <xdr:colOff>473851</xdr:colOff>
      <xdr:row>3</xdr:row>
      <xdr:rowOff>159488</xdr:rowOff>
    </xdr:from>
    <xdr:to>
      <xdr:col>23</xdr:col>
      <xdr:colOff>337644</xdr:colOff>
      <xdr:row>71</xdr:row>
      <xdr:rowOff>149706</xdr:rowOff>
    </xdr:to>
    <xdr:sp macro="" textlink="">
      <xdr:nvSpPr>
        <xdr:cNvPr id="2" name="Rectangle 1">
          <a:extLst>
            <a:ext uri="{FF2B5EF4-FFF2-40B4-BE49-F238E27FC236}">
              <a16:creationId xmlns:a16="http://schemas.microsoft.com/office/drawing/2014/main" id="{E1188F60-84B3-42E8-FED9-BEDCDB4F7FBC}"/>
            </a:ext>
          </a:extLst>
        </xdr:cNvPr>
        <xdr:cNvSpPr/>
      </xdr:nvSpPr>
      <xdr:spPr>
        <a:xfrm>
          <a:off x="2290125" y="723159"/>
          <a:ext cx="11972286" cy="12766766"/>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55563</xdr:colOff>
      <xdr:row>21</xdr:row>
      <xdr:rowOff>7937</xdr:rowOff>
    </xdr:from>
    <xdr:to>
      <xdr:col>7</xdr:col>
      <xdr:colOff>460375</xdr:colOff>
      <xdr:row>22</xdr:row>
      <xdr:rowOff>103188</xdr:rowOff>
    </xdr:to>
    <xdr:sp macro="" textlink="Sheet3!H7">
      <xdr:nvSpPr>
        <xdr:cNvPr id="7" name="TextBox 6">
          <a:extLst>
            <a:ext uri="{FF2B5EF4-FFF2-40B4-BE49-F238E27FC236}">
              <a16:creationId xmlns:a16="http://schemas.microsoft.com/office/drawing/2014/main" id="{DA70CC2C-0B10-2C68-6A07-FDB5C3F5B79C}"/>
            </a:ext>
          </a:extLst>
        </xdr:cNvPr>
        <xdr:cNvSpPr txBox="1"/>
      </xdr:nvSpPr>
      <xdr:spPr>
        <a:xfrm>
          <a:off x="3722688" y="3841750"/>
          <a:ext cx="1016000"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A29AF7-2811-497F-B080-137F16C1B0BB}" type="TxLink">
            <a:rPr lang="en-US" sz="1600" b="0" i="0" u="none" strike="noStrike">
              <a:solidFill>
                <a:srgbClr val="000000"/>
              </a:solidFill>
              <a:latin typeface="Arial Rounded MT Bold" panose="020F0704030504030204" pitchFamily="34" charset="0"/>
              <a:ea typeface="Calibri"/>
              <a:cs typeface="Calibri"/>
            </a:rPr>
            <a:pPr/>
            <a:t>5,720</a:t>
          </a:fld>
          <a:endParaRPr lang="en-IN" sz="1600">
            <a:latin typeface="Arial Rounded MT Bold" panose="020F0704030504030204" pitchFamily="34" charset="0"/>
          </a:endParaRPr>
        </a:p>
      </xdr:txBody>
    </xdr:sp>
    <xdr:clientData/>
  </xdr:twoCellAnchor>
  <xdr:twoCellAnchor>
    <xdr:from>
      <xdr:col>5</xdr:col>
      <xdr:colOff>47624</xdr:colOff>
      <xdr:row>18</xdr:row>
      <xdr:rowOff>158749</xdr:rowOff>
    </xdr:from>
    <xdr:to>
      <xdr:col>9</xdr:col>
      <xdr:colOff>206373</xdr:colOff>
      <xdr:row>21</xdr:row>
      <xdr:rowOff>119061</xdr:rowOff>
    </xdr:to>
    <xdr:sp macro="" textlink="">
      <xdr:nvSpPr>
        <xdr:cNvPr id="8" name="TextBox 7">
          <a:extLst>
            <a:ext uri="{FF2B5EF4-FFF2-40B4-BE49-F238E27FC236}">
              <a16:creationId xmlns:a16="http://schemas.microsoft.com/office/drawing/2014/main" id="{E3419AF7-0011-2B6E-0F5B-6C80A0AC90C8}"/>
            </a:ext>
          </a:extLst>
        </xdr:cNvPr>
        <xdr:cNvSpPr txBox="1"/>
      </xdr:nvSpPr>
      <xdr:spPr>
        <a:xfrm>
          <a:off x="3103562" y="3444874"/>
          <a:ext cx="2603499"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a:t>
          </a:r>
          <a:r>
            <a:rPr lang="en-IN" sz="1100" b="1" baseline="0"/>
            <a:t> </a:t>
          </a:r>
          <a:r>
            <a:rPr lang="en-IN" sz="2000" b="1" baseline="0"/>
            <a:t>MATCHES</a:t>
          </a:r>
          <a:r>
            <a:rPr lang="en-US" sz="2000" b="1" baseline="0"/>
            <a:t>🏠</a:t>
          </a:r>
          <a:endParaRPr lang="en-IN" sz="2000" b="1"/>
        </a:p>
      </xdr:txBody>
    </xdr:sp>
    <xdr:clientData/>
  </xdr:twoCellAnchor>
  <xdr:twoCellAnchor>
    <xdr:from>
      <xdr:col>10</xdr:col>
      <xdr:colOff>571501</xdr:colOff>
      <xdr:row>20</xdr:row>
      <xdr:rowOff>166687</xdr:rowOff>
    </xdr:from>
    <xdr:to>
      <xdr:col>12</xdr:col>
      <xdr:colOff>508001</xdr:colOff>
      <xdr:row>22</xdr:row>
      <xdr:rowOff>150812</xdr:rowOff>
    </xdr:to>
    <xdr:sp macro="" textlink="Sheet3!I7">
      <xdr:nvSpPr>
        <xdr:cNvPr id="9" name="TextBox 8">
          <a:extLst>
            <a:ext uri="{FF2B5EF4-FFF2-40B4-BE49-F238E27FC236}">
              <a16:creationId xmlns:a16="http://schemas.microsoft.com/office/drawing/2014/main" id="{37EF98EE-1F21-BE0D-132B-D9DC12B203D9}"/>
            </a:ext>
          </a:extLst>
        </xdr:cNvPr>
        <xdr:cNvSpPr txBox="1"/>
      </xdr:nvSpPr>
      <xdr:spPr>
        <a:xfrm>
          <a:off x="6683376" y="3817937"/>
          <a:ext cx="1158875"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08DA5C-D78D-425F-99F1-2546C42304AA}" type="TxLink">
            <a:rPr lang="en-US" sz="1600" b="0" i="0" u="none" strike="noStrike">
              <a:solidFill>
                <a:srgbClr val="000000"/>
              </a:solidFill>
              <a:latin typeface="Arial Rounded MT Bold" panose="020F0704030504030204" pitchFamily="34" charset="0"/>
              <a:ea typeface="Calibri"/>
              <a:cs typeface="Calibri"/>
            </a:rPr>
            <a:pPr/>
            <a:t>7,263</a:t>
          </a:fld>
          <a:endParaRPr lang="en-IN" sz="1600" b="0">
            <a:latin typeface="Arial Rounded MT Bold" panose="020F0704030504030204" pitchFamily="34" charset="0"/>
          </a:endParaRPr>
        </a:p>
      </xdr:txBody>
    </xdr:sp>
    <xdr:clientData/>
  </xdr:twoCellAnchor>
  <xdr:twoCellAnchor>
    <xdr:from>
      <xdr:col>15</xdr:col>
      <xdr:colOff>357188</xdr:colOff>
      <xdr:row>20</xdr:row>
      <xdr:rowOff>166688</xdr:rowOff>
    </xdr:from>
    <xdr:to>
      <xdr:col>17</xdr:col>
      <xdr:colOff>103188</xdr:colOff>
      <xdr:row>23</xdr:row>
      <xdr:rowOff>0</xdr:rowOff>
    </xdr:to>
    <xdr:sp macro="" textlink="Sheet3!J7">
      <xdr:nvSpPr>
        <xdr:cNvPr id="11" name="TextBox 10">
          <a:extLst>
            <a:ext uri="{FF2B5EF4-FFF2-40B4-BE49-F238E27FC236}">
              <a16:creationId xmlns:a16="http://schemas.microsoft.com/office/drawing/2014/main" id="{A5A60164-B9E1-C213-A663-4630FE9427FB}"/>
            </a:ext>
          </a:extLst>
        </xdr:cNvPr>
        <xdr:cNvSpPr txBox="1"/>
      </xdr:nvSpPr>
      <xdr:spPr>
        <a:xfrm>
          <a:off x="9525001" y="3817938"/>
          <a:ext cx="9683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FB2BB0-B597-4505-9D96-92B1EEA6F854}" type="TxLink">
            <a:rPr lang="en-US" sz="1600" b="0" i="0" u="none" strike="noStrike">
              <a:solidFill>
                <a:srgbClr val="000000"/>
              </a:solidFill>
              <a:latin typeface="Arial Rounded MT Bold" panose="020F0704030504030204" pitchFamily="34" charset="0"/>
              <a:ea typeface="Calibri"/>
              <a:cs typeface="Calibri"/>
            </a:rPr>
            <a:pPr/>
            <a:t>2,245</a:t>
          </a:fld>
          <a:endParaRPr lang="en-IN" sz="1600">
            <a:latin typeface="Arial Rounded MT Bold" panose="020F0704030504030204" pitchFamily="34" charset="0"/>
          </a:endParaRPr>
        </a:p>
      </xdr:txBody>
    </xdr:sp>
    <xdr:clientData/>
  </xdr:twoCellAnchor>
  <xdr:twoCellAnchor>
    <xdr:from>
      <xdr:col>20</xdr:col>
      <xdr:colOff>95250</xdr:colOff>
      <xdr:row>20</xdr:row>
      <xdr:rowOff>150812</xdr:rowOff>
    </xdr:from>
    <xdr:to>
      <xdr:col>22</xdr:col>
      <xdr:colOff>79375</xdr:colOff>
      <xdr:row>22</xdr:row>
      <xdr:rowOff>79374</xdr:rowOff>
    </xdr:to>
    <xdr:sp macro="" textlink="Sheet3!K7">
      <xdr:nvSpPr>
        <xdr:cNvPr id="13" name="TextBox 12">
          <a:extLst>
            <a:ext uri="{FF2B5EF4-FFF2-40B4-BE49-F238E27FC236}">
              <a16:creationId xmlns:a16="http://schemas.microsoft.com/office/drawing/2014/main" id="{DBC3863C-3D2C-256E-E98E-2225BD27D2A9}"/>
            </a:ext>
          </a:extLst>
        </xdr:cNvPr>
        <xdr:cNvSpPr txBox="1"/>
      </xdr:nvSpPr>
      <xdr:spPr>
        <a:xfrm>
          <a:off x="12319000" y="3802062"/>
          <a:ext cx="1206500"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111CF5-CB7A-496A-B0BC-68BBBF1656CC}" type="TxLink">
            <a:rPr lang="en-US" sz="1600" b="0" i="0" u="none" strike="noStrike">
              <a:solidFill>
                <a:srgbClr val="000000"/>
              </a:solidFill>
              <a:latin typeface="Arial Rounded MT Bold" panose="020F0704030504030204" pitchFamily="34" charset="0"/>
              <a:ea typeface="Calibri"/>
              <a:cs typeface="Calibri"/>
            </a:rPr>
            <a:pPr/>
            <a:t>140.88</a:t>
          </a:fld>
          <a:endParaRPr lang="en-IN" sz="1600">
            <a:latin typeface="Arial Rounded MT Bold" panose="020F0704030504030204" pitchFamily="34" charset="0"/>
          </a:endParaRPr>
        </a:p>
      </xdr:txBody>
    </xdr:sp>
    <xdr:clientData/>
  </xdr:twoCellAnchor>
  <xdr:twoCellAnchor>
    <xdr:from>
      <xdr:col>10</xdr:col>
      <xdr:colOff>238127</xdr:colOff>
      <xdr:row>18</xdr:row>
      <xdr:rowOff>174625</xdr:rowOff>
    </xdr:from>
    <xdr:to>
      <xdr:col>14</xdr:col>
      <xdr:colOff>63501</xdr:colOff>
      <xdr:row>21</xdr:row>
      <xdr:rowOff>63500</xdr:rowOff>
    </xdr:to>
    <xdr:sp macro="" textlink="">
      <xdr:nvSpPr>
        <xdr:cNvPr id="14" name="TextBox 13">
          <a:extLst>
            <a:ext uri="{FF2B5EF4-FFF2-40B4-BE49-F238E27FC236}">
              <a16:creationId xmlns:a16="http://schemas.microsoft.com/office/drawing/2014/main" id="{2EC91BB6-1E7B-A584-EBE3-157CD9391CDD}"/>
            </a:ext>
          </a:extLst>
        </xdr:cNvPr>
        <xdr:cNvSpPr txBox="1"/>
      </xdr:nvSpPr>
      <xdr:spPr>
        <a:xfrm>
          <a:off x="6350002" y="3460750"/>
          <a:ext cx="2270124" cy="436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dk1"/>
              </a:solidFill>
              <a:latin typeface="+mn-lt"/>
              <a:ea typeface="+mn-ea"/>
              <a:cs typeface="+mn-cs"/>
            </a:rPr>
            <a:t>TOTAL</a:t>
          </a:r>
          <a:r>
            <a:rPr lang="en-IN" sz="1100" b="1"/>
            <a:t> </a:t>
          </a:r>
          <a:r>
            <a:rPr lang="en-IN" sz="2000" b="1" baseline="0">
              <a:solidFill>
                <a:schemeClr val="dk1"/>
              </a:solidFill>
              <a:latin typeface="+mn-lt"/>
              <a:ea typeface="+mn-ea"/>
              <a:cs typeface="+mn-cs"/>
            </a:rPr>
            <a:t>RUNS</a:t>
          </a:r>
          <a:r>
            <a:rPr lang="en-US" sz="2000" b="1" baseline="0">
              <a:solidFill>
                <a:schemeClr val="dk1"/>
              </a:solidFill>
              <a:latin typeface="+mn-lt"/>
              <a:ea typeface="+mn-ea"/>
              <a:cs typeface="+mn-cs"/>
            </a:rPr>
            <a:t>🏏</a:t>
          </a:r>
          <a:endParaRPr lang="en-IN" sz="2000" b="1" baseline="0">
            <a:solidFill>
              <a:schemeClr val="dk1"/>
            </a:solidFill>
            <a:latin typeface="+mn-lt"/>
            <a:ea typeface="+mn-ea"/>
            <a:cs typeface="+mn-cs"/>
          </a:endParaRPr>
        </a:p>
      </xdr:txBody>
    </xdr:sp>
    <xdr:clientData/>
  </xdr:twoCellAnchor>
  <xdr:twoCellAnchor>
    <xdr:from>
      <xdr:col>14</xdr:col>
      <xdr:colOff>531810</xdr:colOff>
      <xdr:row>18</xdr:row>
      <xdr:rowOff>142873</xdr:rowOff>
    </xdr:from>
    <xdr:to>
      <xdr:col>19</xdr:col>
      <xdr:colOff>55562</xdr:colOff>
      <xdr:row>21</xdr:row>
      <xdr:rowOff>31748</xdr:rowOff>
    </xdr:to>
    <xdr:sp macro="" textlink="">
      <xdr:nvSpPr>
        <xdr:cNvPr id="15" name="TextBox 14">
          <a:extLst>
            <a:ext uri="{FF2B5EF4-FFF2-40B4-BE49-F238E27FC236}">
              <a16:creationId xmlns:a16="http://schemas.microsoft.com/office/drawing/2014/main" id="{B95A2C5A-89E6-49B9-0098-451E0B7D4065}"/>
            </a:ext>
          </a:extLst>
        </xdr:cNvPr>
        <xdr:cNvSpPr txBox="1"/>
      </xdr:nvSpPr>
      <xdr:spPr>
        <a:xfrm>
          <a:off x="9088435" y="3428998"/>
          <a:ext cx="2579690" cy="436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dk1"/>
              </a:solidFill>
              <a:latin typeface="+mn-lt"/>
              <a:ea typeface="+mn-ea"/>
              <a:cs typeface="+mn-cs"/>
            </a:rPr>
            <a:t>TOTAL</a:t>
          </a:r>
          <a:r>
            <a:rPr lang="en-IN" sz="1100" b="1"/>
            <a:t> </a:t>
          </a:r>
          <a:r>
            <a:rPr lang="en-IN" sz="2000" b="1" baseline="0">
              <a:solidFill>
                <a:schemeClr val="dk1"/>
              </a:solidFill>
              <a:latin typeface="+mn-lt"/>
              <a:ea typeface="+mn-ea"/>
              <a:cs typeface="+mn-cs"/>
            </a:rPr>
            <a:t>WICKETS</a:t>
          </a:r>
          <a:r>
            <a:rPr lang="en-US" sz="2000" b="1" baseline="0">
              <a:solidFill>
                <a:schemeClr val="dk1"/>
              </a:solidFill>
              <a:latin typeface="+mn-lt"/>
              <a:ea typeface="+mn-ea"/>
              <a:cs typeface="+mn-cs"/>
            </a:rPr>
            <a:t>🏐</a:t>
          </a:r>
          <a:endParaRPr lang="en-IN" sz="2000" b="1" baseline="0">
            <a:solidFill>
              <a:schemeClr val="dk1"/>
            </a:solidFill>
            <a:latin typeface="+mn-lt"/>
            <a:ea typeface="+mn-ea"/>
            <a:cs typeface="+mn-cs"/>
          </a:endParaRPr>
        </a:p>
      </xdr:txBody>
    </xdr:sp>
    <xdr:clientData/>
  </xdr:twoCellAnchor>
  <xdr:twoCellAnchor>
    <xdr:from>
      <xdr:col>19</xdr:col>
      <xdr:colOff>95250</xdr:colOff>
      <xdr:row>18</xdr:row>
      <xdr:rowOff>111125</xdr:rowOff>
    </xdr:from>
    <xdr:to>
      <xdr:col>23</xdr:col>
      <xdr:colOff>427355</xdr:colOff>
      <xdr:row>21</xdr:row>
      <xdr:rowOff>-1</xdr:rowOff>
    </xdr:to>
    <xdr:sp macro="" textlink="">
      <xdr:nvSpPr>
        <xdr:cNvPr id="16" name="TextBox 15">
          <a:extLst>
            <a:ext uri="{FF2B5EF4-FFF2-40B4-BE49-F238E27FC236}">
              <a16:creationId xmlns:a16="http://schemas.microsoft.com/office/drawing/2014/main" id="{2D24B632-3335-DFD6-6DAA-2A99CFD0CB5A}"/>
            </a:ext>
          </a:extLst>
        </xdr:cNvPr>
        <xdr:cNvSpPr txBox="1"/>
      </xdr:nvSpPr>
      <xdr:spPr>
        <a:xfrm>
          <a:off x="11707813" y="3397250"/>
          <a:ext cx="2776855" cy="436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baseline="0">
              <a:solidFill>
                <a:schemeClr val="dk1"/>
              </a:solidFill>
              <a:latin typeface="+mn-lt"/>
              <a:ea typeface="+mn-ea"/>
              <a:cs typeface="+mn-cs"/>
            </a:rPr>
            <a:t>AVG</a:t>
          </a:r>
          <a:r>
            <a:rPr lang="en-IN" sz="1100" b="1"/>
            <a:t> </a:t>
          </a:r>
          <a:r>
            <a:rPr lang="en-IN" sz="2000" b="1" baseline="0">
              <a:solidFill>
                <a:schemeClr val="dk1"/>
              </a:solidFill>
              <a:latin typeface="+mn-lt"/>
              <a:ea typeface="+mn-ea"/>
              <a:cs typeface="+mn-cs"/>
            </a:rPr>
            <a:t>STRIKE</a:t>
          </a:r>
          <a:r>
            <a:rPr lang="en-IN" sz="1100" b="1"/>
            <a:t> </a:t>
          </a:r>
          <a:r>
            <a:rPr lang="en-IN" sz="2000" b="1" baseline="0">
              <a:solidFill>
                <a:schemeClr val="dk1"/>
              </a:solidFill>
              <a:latin typeface="+mn-lt"/>
              <a:ea typeface="+mn-ea"/>
              <a:cs typeface="+mn-cs"/>
            </a:rPr>
            <a:t>RATE</a:t>
          </a:r>
          <a:r>
            <a:rPr lang="en-US" sz="2000" b="1" baseline="0">
              <a:solidFill>
                <a:schemeClr val="dk1"/>
              </a:solidFill>
              <a:latin typeface="+mn-lt"/>
              <a:ea typeface="+mn-ea"/>
              <a:cs typeface="+mn-cs"/>
            </a:rPr>
            <a:t>⭐</a:t>
          </a:r>
          <a:endParaRPr lang="en-IN" sz="2000" b="1" baseline="0">
            <a:solidFill>
              <a:schemeClr val="dk1"/>
            </a:solidFill>
            <a:latin typeface="+mn-lt"/>
            <a:ea typeface="+mn-ea"/>
            <a:cs typeface="+mn-cs"/>
          </a:endParaRPr>
        </a:p>
      </xdr:txBody>
    </xdr:sp>
    <xdr:clientData/>
  </xdr:twoCellAnchor>
  <xdr:twoCellAnchor>
    <xdr:from>
      <xdr:col>4</xdr:col>
      <xdr:colOff>535305</xdr:colOff>
      <xdr:row>30</xdr:row>
      <xdr:rowOff>26986</xdr:rowOff>
    </xdr:from>
    <xdr:to>
      <xdr:col>12</xdr:col>
      <xdr:colOff>301625</xdr:colOff>
      <xdr:row>45</xdr:row>
      <xdr:rowOff>150811</xdr:rowOff>
    </xdr:to>
    <xdr:graphicFrame macro="">
      <xdr:nvGraphicFramePr>
        <xdr:cNvPr id="12" name="Chart 11">
          <a:extLst>
            <a:ext uri="{FF2B5EF4-FFF2-40B4-BE49-F238E27FC236}">
              <a16:creationId xmlns:a16="http://schemas.microsoft.com/office/drawing/2014/main" id="{869089F8-7C42-4932-9545-AB45A64B3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150812</xdr:colOff>
      <xdr:row>30</xdr:row>
      <xdr:rowOff>26986</xdr:rowOff>
    </xdr:from>
    <xdr:to>
      <xdr:col>21</xdr:col>
      <xdr:colOff>444499</xdr:colOff>
      <xdr:row>45</xdr:row>
      <xdr:rowOff>126999</xdr:rowOff>
    </xdr:to>
    <xdr:graphicFrame macro="">
      <xdr:nvGraphicFramePr>
        <xdr:cNvPr id="17" name="Chart 16">
          <a:extLst>
            <a:ext uri="{FF2B5EF4-FFF2-40B4-BE49-F238E27FC236}">
              <a16:creationId xmlns:a16="http://schemas.microsoft.com/office/drawing/2014/main" id="{682B4F4C-822D-412F-87EF-713D3B4B6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492125</xdr:colOff>
      <xdr:row>50</xdr:row>
      <xdr:rowOff>58738</xdr:rowOff>
    </xdr:from>
    <xdr:to>
      <xdr:col>12</xdr:col>
      <xdr:colOff>174625</xdr:colOff>
      <xdr:row>65</xdr:row>
      <xdr:rowOff>63500</xdr:rowOff>
    </xdr:to>
    <xdr:graphicFrame macro="">
      <xdr:nvGraphicFramePr>
        <xdr:cNvPr id="19" name="Chart 18">
          <a:extLst>
            <a:ext uri="{FF2B5EF4-FFF2-40B4-BE49-F238E27FC236}">
              <a16:creationId xmlns:a16="http://schemas.microsoft.com/office/drawing/2014/main" id="{CD368FEC-E365-48F0-9590-19CF5CB5C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555626</xdr:colOff>
      <xdr:row>18</xdr:row>
      <xdr:rowOff>158750</xdr:rowOff>
    </xdr:from>
    <xdr:to>
      <xdr:col>8</xdr:col>
      <xdr:colOff>531814</xdr:colOff>
      <xdr:row>23</xdr:row>
      <xdr:rowOff>31750</xdr:rowOff>
    </xdr:to>
    <xdr:sp macro="" textlink="">
      <xdr:nvSpPr>
        <xdr:cNvPr id="20" name="Rectangle 19">
          <a:extLst>
            <a:ext uri="{FF2B5EF4-FFF2-40B4-BE49-F238E27FC236}">
              <a16:creationId xmlns:a16="http://schemas.microsoft.com/office/drawing/2014/main" id="{B46A84BE-60A6-062B-2833-1380EBF5D773}"/>
            </a:ext>
          </a:extLst>
        </xdr:cNvPr>
        <xdr:cNvSpPr/>
      </xdr:nvSpPr>
      <xdr:spPr>
        <a:xfrm>
          <a:off x="3000376" y="3444875"/>
          <a:ext cx="2420938" cy="785813"/>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31751</xdr:colOff>
      <xdr:row>18</xdr:row>
      <xdr:rowOff>158751</xdr:rowOff>
    </xdr:from>
    <xdr:to>
      <xdr:col>13</xdr:col>
      <xdr:colOff>254000</xdr:colOff>
      <xdr:row>23</xdr:row>
      <xdr:rowOff>23812</xdr:rowOff>
    </xdr:to>
    <xdr:sp macro="" textlink="">
      <xdr:nvSpPr>
        <xdr:cNvPr id="21" name="Rectangle 20">
          <a:extLst>
            <a:ext uri="{FF2B5EF4-FFF2-40B4-BE49-F238E27FC236}">
              <a16:creationId xmlns:a16="http://schemas.microsoft.com/office/drawing/2014/main" id="{0E329EAD-4B1A-6A26-9FA7-02F803E86DCE}"/>
            </a:ext>
          </a:extLst>
        </xdr:cNvPr>
        <xdr:cNvSpPr/>
      </xdr:nvSpPr>
      <xdr:spPr>
        <a:xfrm>
          <a:off x="6143626" y="3444876"/>
          <a:ext cx="2055812" cy="77787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293687</xdr:colOff>
      <xdr:row>18</xdr:row>
      <xdr:rowOff>127001</xdr:rowOff>
    </xdr:from>
    <xdr:to>
      <xdr:col>18</xdr:col>
      <xdr:colOff>238124</xdr:colOff>
      <xdr:row>23</xdr:row>
      <xdr:rowOff>7937</xdr:rowOff>
    </xdr:to>
    <xdr:sp macro="" textlink="">
      <xdr:nvSpPr>
        <xdr:cNvPr id="22" name="Rectangle 21">
          <a:extLst>
            <a:ext uri="{FF2B5EF4-FFF2-40B4-BE49-F238E27FC236}">
              <a16:creationId xmlns:a16="http://schemas.microsoft.com/office/drawing/2014/main" id="{69536D9C-1D1A-D0DB-0A8D-CB79BF6A5872}"/>
            </a:ext>
          </a:extLst>
        </xdr:cNvPr>
        <xdr:cNvSpPr/>
      </xdr:nvSpPr>
      <xdr:spPr>
        <a:xfrm>
          <a:off x="8850312" y="3413126"/>
          <a:ext cx="2389187" cy="7937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87312</xdr:colOff>
      <xdr:row>18</xdr:row>
      <xdr:rowOff>134937</xdr:rowOff>
    </xdr:from>
    <xdr:to>
      <xdr:col>22</xdr:col>
      <xdr:colOff>508000</xdr:colOff>
      <xdr:row>23</xdr:row>
      <xdr:rowOff>23812</xdr:rowOff>
    </xdr:to>
    <xdr:sp macro="" textlink="">
      <xdr:nvSpPr>
        <xdr:cNvPr id="23" name="Rectangle 22">
          <a:extLst>
            <a:ext uri="{FF2B5EF4-FFF2-40B4-BE49-F238E27FC236}">
              <a16:creationId xmlns:a16="http://schemas.microsoft.com/office/drawing/2014/main" id="{80CDBD76-C473-F9EE-E63A-C328907C8852}"/>
            </a:ext>
          </a:extLst>
        </xdr:cNvPr>
        <xdr:cNvSpPr/>
      </xdr:nvSpPr>
      <xdr:spPr>
        <a:xfrm>
          <a:off x="11699875" y="3421062"/>
          <a:ext cx="2254250" cy="80168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158750</xdr:colOff>
      <xdr:row>50</xdr:row>
      <xdr:rowOff>39686</xdr:rowOff>
    </xdr:from>
    <xdr:to>
      <xdr:col>21</xdr:col>
      <xdr:colOff>452437</xdr:colOff>
      <xdr:row>65</xdr:row>
      <xdr:rowOff>95249</xdr:rowOff>
    </xdr:to>
    <xdr:graphicFrame macro="">
      <xdr:nvGraphicFramePr>
        <xdr:cNvPr id="25" name="Chart 24">
          <a:extLst>
            <a:ext uri="{FF2B5EF4-FFF2-40B4-BE49-F238E27FC236}">
              <a16:creationId xmlns:a16="http://schemas.microsoft.com/office/drawing/2014/main" id="{E180D672-AAE5-4085-9989-1D422DB11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536815</xdr:colOff>
      <xdr:row>9</xdr:row>
      <xdr:rowOff>68067</xdr:rowOff>
    </xdr:from>
    <xdr:to>
      <xdr:col>21</xdr:col>
      <xdr:colOff>560627</xdr:colOff>
      <xdr:row>14</xdr:row>
      <xdr:rowOff>91880</xdr:rowOff>
    </xdr:to>
    <xdr:sp macro="" textlink="">
      <xdr:nvSpPr>
        <xdr:cNvPr id="26" name="Rectangle 25">
          <a:extLst>
            <a:ext uri="{FF2B5EF4-FFF2-40B4-BE49-F238E27FC236}">
              <a16:creationId xmlns:a16="http://schemas.microsoft.com/office/drawing/2014/main" id="{F45FAB1D-8D05-99F6-E7BE-745B3AB28F98}"/>
            </a:ext>
          </a:extLst>
        </xdr:cNvPr>
        <xdr:cNvSpPr/>
      </xdr:nvSpPr>
      <xdr:spPr>
        <a:xfrm>
          <a:off x="2958514" y="1759081"/>
          <a:ext cx="10316031" cy="96326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a:solidFill>
                <a:schemeClr val="tx1"/>
              </a:solidFill>
            </a:rPr>
            <a:t>        </a:t>
          </a:r>
          <a:r>
            <a:rPr lang="en-IN" sz="4400" b="1">
              <a:solidFill>
                <a:schemeClr val="tx1"/>
              </a:solidFill>
            </a:rPr>
            <a:t>Welcome</a:t>
          </a:r>
          <a:r>
            <a:rPr lang="en-IN" sz="4400" b="1" baseline="0">
              <a:solidFill>
                <a:schemeClr val="tx1"/>
              </a:solidFill>
            </a:rPr>
            <a:t> To IPL Dashboard</a:t>
          </a:r>
          <a:r>
            <a:rPr lang="en-US" sz="4400" b="1" baseline="0">
              <a:solidFill>
                <a:schemeClr val="tx1"/>
              </a:solidFill>
            </a:rPr>
            <a:t>🏠</a:t>
          </a:r>
          <a:endParaRPr lang="en-IN" sz="4400" b="1">
            <a:solidFill>
              <a:schemeClr val="tx1"/>
            </a:solidFill>
          </a:endParaRPr>
        </a:p>
      </xdr:txBody>
    </xdr:sp>
    <xdr:clientData/>
  </xdr:twoCellAnchor>
  <xdr:twoCellAnchor editAs="oneCell">
    <xdr:from>
      <xdr:col>0</xdr:col>
      <xdr:colOff>238590</xdr:colOff>
      <xdr:row>29</xdr:row>
      <xdr:rowOff>117680</xdr:rowOff>
    </xdr:from>
    <xdr:to>
      <xdr:col>3</xdr:col>
      <xdr:colOff>233827</xdr:colOff>
      <xdr:row>47</xdr:row>
      <xdr:rowOff>16013</xdr:rowOff>
    </xdr:to>
    <mc:AlternateContent xmlns:mc="http://schemas.openxmlformats.org/markup-compatibility/2006">
      <mc:Choice xmlns:a14="http://schemas.microsoft.com/office/drawing/2010/main" Requires="a14">
        <xdr:graphicFrame macro="">
          <xdr:nvGraphicFramePr>
            <xdr:cNvPr id="27" name="Player Name">
              <a:extLst>
                <a:ext uri="{FF2B5EF4-FFF2-40B4-BE49-F238E27FC236}">
                  <a16:creationId xmlns:a16="http://schemas.microsoft.com/office/drawing/2014/main" id="{52B4117E-3429-4025-B9FF-00C991BFA2E9}"/>
                </a:ext>
              </a:extLst>
            </xdr:cNvPr>
            <xdr:cNvGraphicFramePr/>
          </xdr:nvGraphicFramePr>
          <xdr:xfrm>
            <a:off x="0" y="0"/>
            <a:ext cx="0" cy="0"/>
          </xdr:xfrm>
          <a:graphic>
            <a:graphicData uri="http://schemas.microsoft.com/office/drawing/2010/slicer">
              <sle:slicer xmlns:sle="http://schemas.microsoft.com/office/drawing/2010/slicer" name="Player Name"/>
            </a:graphicData>
          </a:graphic>
        </xdr:graphicFrame>
      </mc:Choice>
      <mc:Fallback>
        <xdr:sp macro="" textlink="">
          <xdr:nvSpPr>
            <xdr:cNvPr id="0" name=""/>
            <xdr:cNvSpPr>
              <a:spLocks noTextEdit="1"/>
            </xdr:cNvSpPr>
          </xdr:nvSpPr>
          <xdr:spPr>
            <a:xfrm>
              <a:off x="238590" y="5566502"/>
              <a:ext cx="1811511" cy="3280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280207</xdr:colOff>
      <xdr:row>51</xdr:row>
      <xdr:rowOff>90778</xdr:rowOff>
    </xdr:from>
    <xdr:to>
      <xdr:col>3</xdr:col>
      <xdr:colOff>285994</xdr:colOff>
      <xdr:row>67</xdr:row>
      <xdr:rowOff>53165</xdr:rowOff>
    </xdr:to>
    <mc:AlternateContent xmlns:mc="http://schemas.openxmlformats.org/markup-compatibility/2006">
      <mc:Choice xmlns:a14="http://schemas.microsoft.com/office/drawing/2010/main" Requires="a14">
        <xdr:graphicFrame macro="">
          <xdr:nvGraphicFramePr>
            <xdr:cNvPr id="28" name="team">
              <a:extLst>
                <a:ext uri="{FF2B5EF4-FFF2-40B4-BE49-F238E27FC236}">
                  <a16:creationId xmlns:a16="http://schemas.microsoft.com/office/drawing/2014/main" id="{85C02368-116D-4BE1-AFD3-8E491C5F9A4F}"/>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280207" y="9673189"/>
              <a:ext cx="1822061" cy="2968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294013</xdr:colOff>
      <xdr:row>8</xdr:row>
      <xdr:rowOff>150702</xdr:rowOff>
    </xdr:from>
    <xdr:to>
      <xdr:col>3</xdr:col>
      <xdr:colOff>253199</xdr:colOff>
      <xdr:row>27</xdr:row>
      <xdr:rowOff>10437</xdr:rowOff>
    </xdr:to>
    <mc:AlternateContent xmlns:mc="http://schemas.openxmlformats.org/markup-compatibility/2006">
      <mc:Choice xmlns:a14="http://schemas.microsoft.com/office/drawing/2010/main" Requires="a14">
        <xdr:graphicFrame macro="">
          <xdr:nvGraphicFramePr>
            <xdr:cNvPr id="29" name="player 1">
              <a:extLst>
                <a:ext uri="{FF2B5EF4-FFF2-40B4-BE49-F238E27FC236}">
                  <a16:creationId xmlns:a16="http://schemas.microsoft.com/office/drawing/2014/main" id="{E1D6609A-71C4-4554-A335-95478F357822}"/>
                </a:ext>
              </a:extLst>
            </xdr:cNvPr>
            <xdr:cNvGraphicFramePr/>
          </xdr:nvGraphicFramePr>
          <xdr:xfrm>
            <a:off x="0" y="0"/>
            <a:ext cx="0" cy="0"/>
          </xdr:xfrm>
          <a:graphic>
            <a:graphicData uri="http://schemas.microsoft.com/office/drawing/2010/slicer">
              <sle:slicer xmlns:sle="http://schemas.microsoft.com/office/drawing/2010/slicer" name="player 1"/>
            </a:graphicData>
          </a:graphic>
        </xdr:graphicFrame>
      </mc:Choice>
      <mc:Fallback>
        <xdr:sp macro="" textlink="">
          <xdr:nvSpPr>
            <xdr:cNvPr id="0" name=""/>
            <xdr:cNvSpPr>
              <a:spLocks noTextEdit="1"/>
            </xdr:cNvSpPr>
          </xdr:nvSpPr>
          <xdr:spPr>
            <a:xfrm>
              <a:off x="294013" y="1653825"/>
              <a:ext cx="1775460" cy="3429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 refreshedDate="46115.668866203705" createdVersion="8" refreshedVersion="8" minRefreshableVersion="3" recordCount="49" xr:uid="{1F099965-C988-4975-A33E-F3FBDD63567A}">
  <cacheSource type="worksheet">
    <worksheetSource name="players"/>
  </cacheSource>
  <cacheFields count="12">
    <cacheField name="Player Name" numFmtId="0">
      <sharedItems count="49">
        <s v="Virat Kohli"/>
        <s v="Faf du Plessis"/>
        <s v="Glenn Maxwell"/>
        <s v="Rohit Sharma"/>
        <s v="Suryakumar Yadav"/>
        <s v="Hardik Pandya"/>
        <s v="Jasprit Bumrah"/>
        <s v="MS Dhoni"/>
        <s v="Ravindra Jadeja"/>
        <s v="Ruturaj Gaikwad"/>
        <s v="Andre Russell"/>
        <s v="Sunil Narine"/>
        <s v="Shubman Gill"/>
        <s v="Rashid Khan"/>
        <s v="David Miller"/>
        <s v="KL Rahul"/>
        <s v="Quinton de Kock"/>
        <s v="Sanju Samson"/>
        <s v="Jos Buttler"/>
        <s v="Yuzvendra Chahal"/>
        <s v="David Warner"/>
        <s v="Rishabh Pant"/>
        <s v="Axar Patel"/>
        <s v="Kane Williamson"/>
        <s v="Aiden Markram"/>
        <s v="Bhuvneshwar Kumar"/>
        <s v="Shikhar Dhawan"/>
        <s v="Liam Livingstone"/>
        <s v="Arshdeep Singh"/>
        <s v="Trent Boult"/>
        <s v="Mitchell Starc"/>
        <s v="Pat Cummins"/>
        <s v="Ben Stokes"/>
        <s v="Nicholas Pooran"/>
        <s v="Marcus Stoinis"/>
        <s v="Devon Conway"/>
        <s v="Mohammed Siraj"/>
        <s v="Kuldeep Yadav"/>
        <s v="Rahul Tripathi"/>
        <s v="Abhishek Sharma"/>
        <s v="Prithvi Shaw"/>
        <s v="Ishan Kishan"/>
        <s v="Deepak Chahar"/>
        <s v="Ravichandran Ashwin"/>
        <s v="Washington Sundar"/>
        <s v="Dinesh Karthik"/>
        <s v="Shimron Hetmyer"/>
        <s v="Jason Holder"/>
        <s v="Mayank Agarwal"/>
      </sharedItems>
    </cacheField>
    <cacheField name="Team" numFmtId="0">
      <sharedItems count="10">
        <s v="RCB"/>
        <s v="MI"/>
        <s v="CSK"/>
        <s v="KKR"/>
        <s v="GT"/>
        <s v="LSG"/>
        <s v="RR"/>
        <s v="DC"/>
        <s v="SRH"/>
        <s v="PBKS"/>
      </sharedItems>
    </cacheField>
    <cacheField name="Role" numFmtId="0">
      <sharedItems count="4">
        <s v="Batter"/>
        <s v="All-rounder"/>
        <s v="Bowler"/>
        <s v="WK-Batter"/>
      </sharedItems>
    </cacheField>
    <cacheField name="Batting Style" numFmtId="0">
      <sharedItems/>
    </cacheField>
    <cacheField name="Bowling Style" numFmtId="0">
      <sharedItems count="9">
        <s v="-"/>
        <s v="Off Spin"/>
        <s v="Medium Fast"/>
        <s v="Fast"/>
        <s v="Left-arm Spin"/>
        <s v="Spin"/>
        <s v="Leg Spin"/>
        <s v="Swing"/>
        <s v="Medium"/>
      </sharedItems>
    </cacheField>
    <cacheField name="Matches" numFmtId="0">
      <sharedItems containsSemiMixedTypes="0" containsString="0" containsNumber="1" containsInteger="1" minValue="40" maxValue="250"/>
    </cacheField>
    <cacheField name="Runs" numFmtId="0">
      <sharedItems containsMixedTypes="1" containsNumber="1" containsInteger="1" minValue="350" maxValue="7263" count="30">
        <n v="7263"/>
        <n v="4000"/>
        <n v="2700"/>
        <n v="6200"/>
        <n v="3200"/>
        <n v="2300"/>
        <s v="-"/>
        <n v="5082"/>
        <n v="2800"/>
        <n v="1000"/>
        <n v="350"/>
        <n v="2500"/>
        <n v="4200"/>
        <n v="3300"/>
        <n v="3800"/>
        <n v="3600"/>
        <n v="6500"/>
        <n v="1400"/>
        <n v="2100"/>
        <n v="1500"/>
        <n v="400"/>
        <n v="900"/>
        <n v="1800"/>
        <n v="2000"/>
        <n v="2200"/>
        <n v="700"/>
        <n v="800"/>
        <n v="4500"/>
        <n v="500"/>
        <n v="2600"/>
      </sharedItems>
    </cacheField>
    <cacheField name="Avg" numFmtId="0">
      <sharedItems containsMixedTypes="1" containsNumber="1" minValue="15" maxValue="45" count="23">
        <n v="37.5"/>
        <n v="35"/>
        <n v="26"/>
        <n v="29"/>
        <n v="33"/>
        <n v="30"/>
        <s v="-"/>
        <n v="39"/>
        <n v="27"/>
        <n v="38"/>
        <n v="20"/>
        <n v="37"/>
        <n v="45"/>
        <n v="32"/>
        <n v="41"/>
        <n v="34"/>
        <n v="25"/>
        <n v="36"/>
        <n v="28"/>
        <n v="40"/>
        <n v="15"/>
        <n v="18"/>
        <n v="23"/>
      </sharedItems>
    </cacheField>
    <cacheField name="Strike Rate" numFmtId="0">
      <sharedItems containsMixedTypes="1" containsNumber="1" containsInteger="1" minValue="120" maxValue="175" count="14">
        <n v="130"/>
        <n v="135"/>
        <n v="155"/>
        <n v="131"/>
        <n v="145"/>
        <s v="-"/>
        <n v="175"/>
        <n v="160"/>
        <n v="140"/>
        <n v="150"/>
        <n v="139"/>
        <n v="125"/>
        <n v="165"/>
        <n v="120"/>
      </sharedItems>
    </cacheField>
    <cacheField name="Wickets" numFmtId="0">
      <sharedItems containsMixedTypes="1" containsNumber="1" containsInteger="1" minValue="20" maxValue="190" count="16">
        <s v="-"/>
        <n v="35"/>
        <n v="60"/>
        <n v="150"/>
        <n v="100"/>
        <n v="160"/>
        <n v="140"/>
        <n v="190"/>
        <n v="110"/>
        <n v="170"/>
        <n v="20"/>
        <n v="90"/>
        <n v="120"/>
        <n v="30"/>
        <n v="40"/>
        <n v="50"/>
      </sharedItems>
    </cacheField>
    <cacheField name="Economy" numFmtId="0">
      <sharedItems containsMixedTypes="1" containsNumber="1" minValue="6.5" maxValue="9" count="11">
        <s v="-"/>
        <n v="7.5"/>
        <n v="8.5"/>
        <n v="7"/>
        <n v="9"/>
        <n v="6.5"/>
        <n v="7.8"/>
        <n v="7.2"/>
        <n v="8"/>
        <n v="8.1999999999999993"/>
        <n v="8.8000000000000007"/>
      </sharedItems>
    </cacheField>
    <cacheField name="Skill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 refreshedDate="46115.727209259261" createdVersion="8" refreshedVersion="8" minRefreshableVersion="3" recordCount="10" xr:uid="{1FC39A36-8162-4FB0-9758-FAA3C850A6A2}">
  <cacheSource type="worksheet">
    <worksheetSource name="bowlers"/>
  </cacheSource>
  <cacheFields count="12">
    <cacheField name="Player Name" numFmtId="0">
      <sharedItems count="10">
        <s v="Jasprit Bumrah"/>
        <s v="Rashid Khan"/>
        <s v="Yuzvendra Chahal"/>
        <s v="Bhuvneshwar Kumar"/>
        <s v="Arshdeep Singh"/>
        <s v="Trent Boult"/>
        <s v="Mitchell Starc"/>
        <s v="Mohammed Siraj"/>
        <s v="Kuldeep Yadav"/>
        <s v="Deepak Chahar"/>
      </sharedItems>
    </cacheField>
    <cacheField name="Team" numFmtId="0">
      <sharedItems count="9">
        <s v="MI"/>
        <s v="GT"/>
        <s v="RR"/>
        <s v="SRH"/>
        <s v="PBKS"/>
        <s v="KKR"/>
        <s v="RCB"/>
        <s v="DC"/>
        <s v="CSK"/>
      </sharedItems>
    </cacheField>
    <cacheField name="Role" numFmtId="0">
      <sharedItems count="1">
        <s v="Bowler"/>
      </sharedItems>
    </cacheField>
    <cacheField name="Batting Style" numFmtId="0">
      <sharedItems/>
    </cacheField>
    <cacheField name="Bowling Style" numFmtId="0">
      <sharedItems count="4">
        <s v="Fast"/>
        <s v="Leg Spin"/>
        <s v="Swing"/>
        <s v="Spin"/>
      </sharedItems>
    </cacheField>
    <cacheField name="Matches" numFmtId="0">
      <sharedItems containsSemiMixedTypes="0" containsString="0" containsNumber="1" containsInteger="1" minValue="40" maxValue="160"/>
    </cacheField>
    <cacheField name="Runs" numFmtId="0">
      <sharedItems containsMixedTypes="1" containsNumber="1" containsInteger="1" minValue="350" maxValue="350" count="2">
        <s v="-"/>
        <n v="350"/>
      </sharedItems>
    </cacheField>
    <cacheField name="Avg" numFmtId="0">
      <sharedItems count="1">
        <s v="-"/>
      </sharedItems>
    </cacheField>
    <cacheField name="Strike Rate" numFmtId="0">
      <sharedItems containsMixedTypes="1" containsNumber="1" containsInteger="1" minValue="150" maxValue="150"/>
    </cacheField>
    <cacheField name="Wickets" numFmtId="0">
      <sharedItems containsSemiMixedTypes="0" containsString="0" containsNumber="1" containsInteger="1" minValue="60" maxValue="190" count="8">
        <n v="150"/>
        <n v="140"/>
        <n v="190"/>
        <n v="170"/>
        <n v="90"/>
        <n v="120"/>
        <n v="60"/>
        <n v="100"/>
      </sharedItems>
    </cacheField>
    <cacheField name="Economy" numFmtId="0">
      <sharedItems containsSemiMixedTypes="0" containsString="0" containsNumber="1" minValue="6.5" maxValue="8" count="5">
        <n v="7"/>
        <n v="6.5"/>
        <n v="7.8"/>
        <n v="7.5"/>
        <n v="8"/>
      </sharedItems>
    </cacheField>
    <cacheField name="Skills" numFmtId="0">
      <sharedItems/>
    </cacheField>
  </cacheFields>
  <extLst>
    <ext xmlns:x14="http://schemas.microsoft.com/office/spreadsheetml/2009/9/main" uri="{725AE2AE-9491-48be-B2B4-4EB974FC3084}">
      <x14:pivotCacheDefinition pivotCacheId="211781776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 refreshedDate="46115.737753935187" createdVersion="8" refreshedVersion="8" minRefreshableVersion="3" recordCount="25" xr:uid="{D502CFED-7FA1-4C2A-B6B7-CDC2CE7C0DE2}">
  <cacheSource type="worksheet">
    <worksheetSource name="batters"/>
  </cacheSource>
  <cacheFields count="9">
    <cacheField name="player" numFmtId="0">
      <sharedItems count="25">
        <s v="Virat Kohli"/>
        <s v="Faf du Plessis"/>
        <s v="Rohit Sharma"/>
        <s v="Suryakumar Yadav"/>
        <s v="MS Dhoni"/>
        <s v="Ruturaj Gaikwad"/>
        <s v="Shubman Gill"/>
        <s v="David Miller"/>
        <s v="KL Rahul"/>
        <s v="Quinton de Kock"/>
        <s v="Sanju Samson"/>
        <s v="Jos Buttler"/>
        <s v="David Warner"/>
        <s v="Rishabh Pant"/>
        <s v="Kane Williamson"/>
        <s v="Aiden Markram"/>
        <s v="Shikhar Dhawan"/>
        <s v="Nicholas Pooran"/>
        <s v="Devon Conway"/>
        <s v="Rahul Tripathi"/>
        <s v="Prithvi Shaw"/>
        <s v="Ishan Kishan"/>
        <s v="Dinesh Karthik"/>
        <s v="Shimron Hetmyer"/>
        <s v="Mayank Agarwal"/>
      </sharedItems>
    </cacheField>
    <cacheField name="team" numFmtId="0">
      <sharedItems count="9">
        <s v="RCB"/>
        <s v="MI"/>
        <s v="CSK"/>
        <s v="GT"/>
        <s v="LSG"/>
        <s v="RR"/>
        <s v="DC"/>
        <s v="SRH"/>
        <s v="PBKS"/>
      </sharedItems>
    </cacheField>
    <cacheField name="role" numFmtId="0">
      <sharedItems count="2">
        <s v="Batter"/>
        <s v="WK-Batter"/>
      </sharedItems>
    </cacheField>
    <cacheField name="batsman type" numFmtId="0">
      <sharedItems count="2">
        <s v="Right-hand"/>
        <s v="Left-hand"/>
      </sharedItems>
    </cacheField>
    <cacheField name="matches" numFmtId="0">
      <sharedItems containsSemiMixedTypes="0" containsString="0" containsNumber="1" containsInteger="1" minValue="60" maxValue="250"/>
    </cacheField>
    <cacheField name="runs" numFmtId="0">
      <sharedItems containsSemiMixedTypes="0" containsString="0" containsNumber="1" containsInteger="1" minValue="1400" maxValue="7263" count="20">
        <n v="7263"/>
        <n v="4000"/>
        <n v="6200"/>
        <n v="3200"/>
        <n v="5082"/>
        <n v="2800"/>
        <n v="2500"/>
        <n v="4200"/>
        <n v="3300"/>
        <n v="3800"/>
        <n v="3600"/>
        <n v="6500"/>
        <n v="2100"/>
        <n v="1400"/>
        <n v="1800"/>
        <n v="2200"/>
        <n v="2000"/>
        <n v="4500"/>
        <n v="1500"/>
        <n v="2600"/>
      </sharedItems>
    </cacheField>
    <cacheField name="avg" numFmtId="0">
      <sharedItems containsSemiMixedTypes="0" containsString="0" containsNumber="1" minValue="23" maxValue="45" count="18">
        <n v="37.5"/>
        <n v="35"/>
        <n v="29"/>
        <n v="33"/>
        <n v="39"/>
        <n v="38"/>
        <n v="37"/>
        <n v="45"/>
        <n v="32"/>
        <n v="30"/>
        <n v="41"/>
        <n v="34"/>
        <n v="36"/>
        <n v="40"/>
        <n v="28"/>
        <n v="25"/>
        <n v="26"/>
        <n v="23"/>
      </sharedItems>
    </cacheField>
    <cacheField name="sr rate" numFmtId="0">
      <sharedItems containsSemiMixedTypes="0" containsString="0" containsNumber="1" containsInteger="1" minValue="125" maxValue="160" count="10">
        <n v="130"/>
        <n v="135"/>
        <n v="131"/>
        <n v="145"/>
        <n v="140"/>
        <n v="150"/>
        <n v="139"/>
        <n v="125"/>
        <n v="160"/>
        <n v="155"/>
      </sharedItems>
    </cacheField>
    <cacheField name="skill" numFmtId="0">
      <sharedItems/>
    </cacheField>
  </cacheFields>
  <extLst>
    <ext xmlns:x14="http://schemas.microsoft.com/office/spreadsheetml/2009/9/main" uri="{725AE2AE-9491-48be-B2B4-4EB974FC3084}">
      <x14:pivotCacheDefinition pivotCacheId="126411835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j" refreshedDate="46116.757745833333" createdVersion="8" refreshedVersion="8" minRefreshableVersion="3" recordCount="10" xr:uid="{FBDA213E-7CF5-4123-B3F0-AA61698FEA6E}">
  <cacheSource type="worksheet">
    <worksheetSource name="teams"/>
  </cacheSource>
  <cacheFields count="5">
    <cacheField name="Team" numFmtId="0">
      <sharedItems count="10">
        <s v="Chennai Super Kings"/>
        <s v="Mumbai Indians"/>
        <s v="Royal Challengers Bangalore"/>
        <s v="Gujarat Titans"/>
        <s v="Lucknow Super Giants"/>
        <s v="Kolkata Knight Riders"/>
        <s v="Delhi Capitals"/>
        <s v="Rajasthan Royals"/>
        <s v="Sunrisers Hyderabad"/>
        <s v="Punjab Kings"/>
      </sharedItems>
    </cacheField>
    <cacheField name="Matches Played" numFmtId="0">
      <sharedItems containsSemiMixedTypes="0" containsString="0" containsNumber="1" containsInteger="1" minValue="14" maxValue="14"/>
    </cacheField>
    <cacheField name="Matches Won" numFmtId="0">
      <sharedItems containsSemiMixedTypes="0" containsString="0" containsNumber="1" containsInteger="1" minValue="5" maxValue="10"/>
    </cacheField>
    <cacheField name="Matches Lost" numFmtId="0">
      <sharedItems containsSemiMixedTypes="0" containsString="0" containsNumber="1" containsInteger="1" minValue="4" maxValue="9"/>
    </cacheField>
    <cacheField name="Win %" numFmtId="2">
      <sharedItems containsSemiMixedTypes="0" containsString="0" containsNumber="1" minValue="35.714285709999999" maxValue="71.4285714300000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s v="Right-hand"/>
    <x v="0"/>
    <n v="240"/>
    <x v="0"/>
    <x v="0"/>
    <x v="0"/>
    <x v="0"/>
    <x v="0"/>
    <s v="Anchoring, Cover Drive"/>
  </r>
  <r>
    <x v="1"/>
    <x v="0"/>
    <x v="0"/>
    <s v="Right-hand"/>
    <x v="0"/>
    <n v="130"/>
    <x v="1"/>
    <x v="1"/>
    <x v="1"/>
    <x v="0"/>
    <x v="0"/>
    <s v="Consistency"/>
  </r>
  <r>
    <x v="2"/>
    <x v="0"/>
    <x v="1"/>
    <s v="Right-hand"/>
    <x v="1"/>
    <n v="120"/>
    <x v="2"/>
    <x v="2"/>
    <x v="2"/>
    <x v="1"/>
    <x v="1"/>
    <s v="Power Hitting"/>
  </r>
  <r>
    <x v="3"/>
    <x v="1"/>
    <x v="0"/>
    <s v="Right-hand"/>
    <x v="0"/>
    <n v="240"/>
    <x v="3"/>
    <x v="3"/>
    <x v="3"/>
    <x v="0"/>
    <x v="0"/>
    <s v="Powerplay Hitting"/>
  </r>
  <r>
    <x v="4"/>
    <x v="1"/>
    <x v="0"/>
    <s v="Right-hand"/>
    <x v="0"/>
    <n v="140"/>
    <x v="4"/>
    <x v="4"/>
    <x v="4"/>
    <x v="0"/>
    <x v="0"/>
    <s v="360 Shots"/>
  </r>
  <r>
    <x v="5"/>
    <x v="1"/>
    <x v="1"/>
    <s v="Right-hand"/>
    <x v="2"/>
    <n v="130"/>
    <x v="5"/>
    <x v="5"/>
    <x v="4"/>
    <x v="2"/>
    <x v="2"/>
    <s v="Finishing"/>
  </r>
  <r>
    <x v="6"/>
    <x v="1"/>
    <x v="2"/>
    <s v="Right-hand"/>
    <x v="3"/>
    <n v="120"/>
    <x v="6"/>
    <x v="6"/>
    <x v="5"/>
    <x v="3"/>
    <x v="3"/>
    <s v="Death Bowling"/>
  </r>
  <r>
    <x v="7"/>
    <x v="2"/>
    <x v="3"/>
    <s v="Right-hand"/>
    <x v="0"/>
    <n v="250"/>
    <x v="7"/>
    <x v="7"/>
    <x v="1"/>
    <x v="0"/>
    <x v="0"/>
    <s v="Finishing"/>
  </r>
  <r>
    <x v="8"/>
    <x v="2"/>
    <x v="1"/>
    <s v="Left-hand"/>
    <x v="4"/>
    <n v="220"/>
    <x v="8"/>
    <x v="8"/>
    <x v="0"/>
    <x v="3"/>
    <x v="1"/>
    <s v="All-round"/>
  </r>
  <r>
    <x v="9"/>
    <x v="2"/>
    <x v="0"/>
    <s v="Right-hand"/>
    <x v="0"/>
    <n v="90"/>
    <x v="8"/>
    <x v="9"/>
    <x v="1"/>
    <x v="0"/>
    <x v="0"/>
    <s v="Timing"/>
  </r>
  <r>
    <x v="10"/>
    <x v="3"/>
    <x v="1"/>
    <s v="Right-hand"/>
    <x v="3"/>
    <n v="110"/>
    <x v="5"/>
    <x v="3"/>
    <x v="6"/>
    <x v="4"/>
    <x v="4"/>
    <s v="Power Hitting"/>
  </r>
  <r>
    <x v="11"/>
    <x v="3"/>
    <x v="1"/>
    <s v="Left-hand"/>
    <x v="5"/>
    <n v="160"/>
    <x v="9"/>
    <x v="10"/>
    <x v="7"/>
    <x v="5"/>
    <x v="5"/>
    <s v="Mystery Spin"/>
  </r>
  <r>
    <x v="12"/>
    <x v="4"/>
    <x v="0"/>
    <s v="Right-hand"/>
    <x v="0"/>
    <n v="100"/>
    <x v="4"/>
    <x v="11"/>
    <x v="8"/>
    <x v="0"/>
    <x v="0"/>
    <s v="Class"/>
  </r>
  <r>
    <x v="13"/>
    <x v="4"/>
    <x v="2"/>
    <s v="Right-hand"/>
    <x v="6"/>
    <n v="110"/>
    <x v="10"/>
    <x v="6"/>
    <x v="9"/>
    <x v="6"/>
    <x v="5"/>
    <s v="Spin"/>
  </r>
  <r>
    <x v="14"/>
    <x v="4"/>
    <x v="0"/>
    <s v="Left-hand"/>
    <x v="0"/>
    <n v="120"/>
    <x v="11"/>
    <x v="1"/>
    <x v="8"/>
    <x v="0"/>
    <x v="0"/>
    <s v="Finishing"/>
  </r>
  <r>
    <x v="15"/>
    <x v="5"/>
    <x v="3"/>
    <s v="Right-hand"/>
    <x v="0"/>
    <n v="120"/>
    <x v="12"/>
    <x v="12"/>
    <x v="1"/>
    <x v="0"/>
    <x v="0"/>
    <s v="Consistency"/>
  </r>
  <r>
    <x v="16"/>
    <x v="5"/>
    <x v="3"/>
    <s v="Left-hand"/>
    <x v="0"/>
    <n v="140"/>
    <x v="13"/>
    <x v="13"/>
    <x v="1"/>
    <x v="0"/>
    <x v="0"/>
    <s v="Aggression"/>
  </r>
  <r>
    <x v="17"/>
    <x v="6"/>
    <x v="3"/>
    <s v="Right-hand"/>
    <x v="0"/>
    <n v="140"/>
    <x v="14"/>
    <x v="5"/>
    <x v="8"/>
    <x v="0"/>
    <x v="0"/>
    <s v="Shot Making"/>
  </r>
  <r>
    <x v="18"/>
    <x v="6"/>
    <x v="0"/>
    <s v="Right-hand"/>
    <x v="0"/>
    <n v="110"/>
    <x v="15"/>
    <x v="7"/>
    <x v="9"/>
    <x v="0"/>
    <x v="0"/>
    <s v="Power Hitting"/>
  </r>
  <r>
    <x v="19"/>
    <x v="6"/>
    <x v="2"/>
    <s v="Right-hand"/>
    <x v="6"/>
    <n v="150"/>
    <x v="6"/>
    <x v="6"/>
    <x v="5"/>
    <x v="7"/>
    <x v="6"/>
    <s v="Wicket Taking"/>
  </r>
  <r>
    <x v="20"/>
    <x v="7"/>
    <x v="0"/>
    <s v="Left-hand"/>
    <x v="0"/>
    <n v="180"/>
    <x v="16"/>
    <x v="14"/>
    <x v="10"/>
    <x v="0"/>
    <x v="0"/>
    <s v="Aggression"/>
  </r>
  <r>
    <x v="21"/>
    <x v="7"/>
    <x v="3"/>
    <s v="Left-hand"/>
    <x v="0"/>
    <n v="100"/>
    <x v="8"/>
    <x v="15"/>
    <x v="9"/>
    <x v="0"/>
    <x v="0"/>
    <s v="Explosive"/>
  </r>
  <r>
    <x v="22"/>
    <x v="7"/>
    <x v="1"/>
    <s v="Left-hand"/>
    <x v="5"/>
    <n v="130"/>
    <x v="17"/>
    <x v="16"/>
    <x v="0"/>
    <x v="8"/>
    <x v="7"/>
    <s v="All-round"/>
  </r>
  <r>
    <x v="23"/>
    <x v="8"/>
    <x v="0"/>
    <s v="Right-hand"/>
    <x v="0"/>
    <n v="90"/>
    <x v="18"/>
    <x v="17"/>
    <x v="11"/>
    <x v="0"/>
    <x v="0"/>
    <s v="Anchoring"/>
  </r>
  <r>
    <x v="24"/>
    <x v="8"/>
    <x v="0"/>
    <s v="Right-hand"/>
    <x v="0"/>
    <n v="60"/>
    <x v="17"/>
    <x v="13"/>
    <x v="1"/>
    <x v="0"/>
    <x v="0"/>
    <s v="Stability"/>
  </r>
  <r>
    <x v="25"/>
    <x v="8"/>
    <x v="2"/>
    <s v="Right-hand"/>
    <x v="7"/>
    <n v="160"/>
    <x v="6"/>
    <x v="6"/>
    <x v="5"/>
    <x v="9"/>
    <x v="1"/>
    <s v="Swing"/>
  </r>
  <r>
    <x v="26"/>
    <x v="9"/>
    <x v="0"/>
    <s v="Left-hand"/>
    <x v="0"/>
    <n v="210"/>
    <x v="16"/>
    <x v="1"/>
    <x v="0"/>
    <x v="0"/>
    <x v="0"/>
    <s v="Consistency"/>
  </r>
  <r>
    <x v="27"/>
    <x v="9"/>
    <x v="1"/>
    <s v="Right-hand"/>
    <x v="5"/>
    <n v="60"/>
    <x v="19"/>
    <x v="18"/>
    <x v="12"/>
    <x v="10"/>
    <x v="2"/>
    <s v="Power"/>
  </r>
  <r>
    <x v="28"/>
    <x v="9"/>
    <x v="2"/>
    <s v="Left-hand"/>
    <x v="3"/>
    <n v="80"/>
    <x v="6"/>
    <x v="6"/>
    <x v="5"/>
    <x v="11"/>
    <x v="8"/>
    <s v="Death"/>
  </r>
  <r>
    <x v="29"/>
    <x v="6"/>
    <x v="2"/>
    <s v="Left-hand"/>
    <x v="3"/>
    <n v="100"/>
    <x v="6"/>
    <x v="6"/>
    <x v="5"/>
    <x v="12"/>
    <x v="6"/>
    <s v="Swing"/>
  </r>
  <r>
    <x v="30"/>
    <x v="3"/>
    <x v="2"/>
    <s v="Left-hand"/>
    <x v="3"/>
    <n v="40"/>
    <x v="6"/>
    <x v="6"/>
    <x v="5"/>
    <x v="2"/>
    <x v="1"/>
    <s v="Pace"/>
  </r>
  <r>
    <x v="31"/>
    <x v="8"/>
    <x v="1"/>
    <s v="Right-hand"/>
    <x v="3"/>
    <n v="50"/>
    <x v="20"/>
    <x v="10"/>
    <x v="8"/>
    <x v="2"/>
    <x v="9"/>
    <s v="All-round"/>
  </r>
  <r>
    <x v="32"/>
    <x v="2"/>
    <x v="1"/>
    <s v="Left-hand"/>
    <x v="3"/>
    <n v="50"/>
    <x v="21"/>
    <x v="16"/>
    <x v="1"/>
    <x v="13"/>
    <x v="2"/>
    <s v="Match Winner"/>
  </r>
  <r>
    <x v="33"/>
    <x v="5"/>
    <x v="3"/>
    <s v="Left-hand"/>
    <x v="0"/>
    <n v="70"/>
    <x v="22"/>
    <x v="5"/>
    <x v="7"/>
    <x v="0"/>
    <x v="0"/>
    <s v="Finisher"/>
  </r>
  <r>
    <x v="34"/>
    <x v="5"/>
    <x v="1"/>
    <s v="Right-hand"/>
    <x v="8"/>
    <n v="90"/>
    <x v="23"/>
    <x v="18"/>
    <x v="4"/>
    <x v="14"/>
    <x v="10"/>
    <s v="Power"/>
  </r>
  <r>
    <x v="35"/>
    <x v="2"/>
    <x v="0"/>
    <s v="Left-hand"/>
    <x v="0"/>
    <n v="70"/>
    <x v="24"/>
    <x v="19"/>
    <x v="1"/>
    <x v="0"/>
    <x v="0"/>
    <s v="Consistency"/>
  </r>
  <r>
    <x v="36"/>
    <x v="0"/>
    <x v="2"/>
    <s v="Right-hand"/>
    <x v="3"/>
    <n v="90"/>
    <x v="6"/>
    <x v="6"/>
    <x v="5"/>
    <x v="4"/>
    <x v="6"/>
    <s v="Pace"/>
  </r>
  <r>
    <x v="37"/>
    <x v="7"/>
    <x v="2"/>
    <s v="Left-hand"/>
    <x v="5"/>
    <n v="80"/>
    <x v="6"/>
    <x v="6"/>
    <x v="5"/>
    <x v="11"/>
    <x v="1"/>
    <s v="Spin"/>
  </r>
  <r>
    <x v="38"/>
    <x v="8"/>
    <x v="0"/>
    <s v="Right-hand"/>
    <x v="0"/>
    <n v="80"/>
    <x v="23"/>
    <x v="18"/>
    <x v="8"/>
    <x v="0"/>
    <x v="0"/>
    <s v="Aggression"/>
  </r>
  <r>
    <x v="39"/>
    <x v="8"/>
    <x v="1"/>
    <s v="Left-hand"/>
    <x v="5"/>
    <n v="60"/>
    <x v="17"/>
    <x v="8"/>
    <x v="8"/>
    <x v="10"/>
    <x v="8"/>
    <s v="All-round"/>
  </r>
  <r>
    <x v="40"/>
    <x v="7"/>
    <x v="0"/>
    <s v="Right-hand"/>
    <x v="0"/>
    <n v="70"/>
    <x v="22"/>
    <x v="16"/>
    <x v="9"/>
    <x v="0"/>
    <x v="0"/>
    <s v="Aggression"/>
  </r>
  <r>
    <x v="41"/>
    <x v="1"/>
    <x v="3"/>
    <s v="Left-hand"/>
    <x v="0"/>
    <n v="90"/>
    <x v="24"/>
    <x v="18"/>
    <x v="4"/>
    <x v="0"/>
    <x v="0"/>
    <s v="Explosive"/>
  </r>
  <r>
    <x v="42"/>
    <x v="2"/>
    <x v="2"/>
    <s v="Right-hand"/>
    <x v="7"/>
    <n v="80"/>
    <x v="6"/>
    <x v="6"/>
    <x v="5"/>
    <x v="11"/>
    <x v="1"/>
    <s v="Swing"/>
  </r>
  <r>
    <x v="43"/>
    <x v="6"/>
    <x v="1"/>
    <s v="Right-hand"/>
    <x v="5"/>
    <n v="200"/>
    <x v="25"/>
    <x v="20"/>
    <x v="13"/>
    <x v="9"/>
    <x v="3"/>
    <s v="Spin"/>
  </r>
  <r>
    <x v="44"/>
    <x v="8"/>
    <x v="1"/>
    <s v="Left-hand"/>
    <x v="5"/>
    <n v="60"/>
    <x v="26"/>
    <x v="10"/>
    <x v="0"/>
    <x v="14"/>
    <x v="7"/>
    <s v="Control"/>
  </r>
  <r>
    <x v="45"/>
    <x v="0"/>
    <x v="3"/>
    <s v="Right-hand"/>
    <x v="0"/>
    <n v="200"/>
    <x v="27"/>
    <x v="2"/>
    <x v="1"/>
    <x v="0"/>
    <x v="0"/>
    <s v="Finishing"/>
  </r>
  <r>
    <x v="46"/>
    <x v="6"/>
    <x v="0"/>
    <s v="Left-hand"/>
    <x v="0"/>
    <n v="60"/>
    <x v="19"/>
    <x v="13"/>
    <x v="2"/>
    <x v="0"/>
    <x v="0"/>
    <s v="Finisher"/>
  </r>
  <r>
    <x v="47"/>
    <x v="6"/>
    <x v="1"/>
    <s v="Right-hand"/>
    <x v="3"/>
    <n v="50"/>
    <x v="28"/>
    <x v="21"/>
    <x v="0"/>
    <x v="15"/>
    <x v="9"/>
    <s v="All-round"/>
  </r>
  <r>
    <x v="48"/>
    <x v="8"/>
    <x v="0"/>
    <s v="Right-hand"/>
    <x v="0"/>
    <n v="120"/>
    <x v="29"/>
    <x v="22"/>
    <x v="1"/>
    <x v="0"/>
    <x v="0"/>
    <s v="Top Ord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s v="Right-hand"/>
    <x v="0"/>
    <n v="120"/>
    <x v="0"/>
    <x v="0"/>
    <s v="-"/>
    <x v="0"/>
    <x v="0"/>
    <s v="Death Bowling"/>
  </r>
  <r>
    <x v="1"/>
    <x v="1"/>
    <x v="0"/>
    <s v="Right-hand"/>
    <x v="1"/>
    <n v="110"/>
    <x v="1"/>
    <x v="0"/>
    <n v="150"/>
    <x v="1"/>
    <x v="1"/>
    <s v="Spin"/>
  </r>
  <r>
    <x v="2"/>
    <x v="2"/>
    <x v="0"/>
    <s v="Right-hand"/>
    <x v="1"/>
    <n v="150"/>
    <x v="0"/>
    <x v="0"/>
    <s v="-"/>
    <x v="2"/>
    <x v="2"/>
    <s v="Wicket Taking"/>
  </r>
  <r>
    <x v="3"/>
    <x v="3"/>
    <x v="0"/>
    <s v="Right-hand"/>
    <x v="2"/>
    <n v="160"/>
    <x v="0"/>
    <x v="0"/>
    <s v="-"/>
    <x v="3"/>
    <x v="3"/>
    <s v="Swing"/>
  </r>
  <r>
    <x v="4"/>
    <x v="4"/>
    <x v="0"/>
    <s v="Left-hand"/>
    <x v="0"/>
    <n v="80"/>
    <x v="0"/>
    <x v="0"/>
    <s v="-"/>
    <x v="4"/>
    <x v="4"/>
    <s v="Death"/>
  </r>
  <r>
    <x v="5"/>
    <x v="2"/>
    <x v="0"/>
    <s v="Left-hand"/>
    <x v="0"/>
    <n v="100"/>
    <x v="0"/>
    <x v="0"/>
    <s v="-"/>
    <x v="5"/>
    <x v="2"/>
    <s v="Swing"/>
  </r>
  <r>
    <x v="6"/>
    <x v="5"/>
    <x v="0"/>
    <s v="Left-hand"/>
    <x v="0"/>
    <n v="40"/>
    <x v="0"/>
    <x v="0"/>
    <s v="-"/>
    <x v="6"/>
    <x v="3"/>
    <s v="Pace"/>
  </r>
  <r>
    <x v="7"/>
    <x v="6"/>
    <x v="0"/>
    <s v="Right-hand"/>
    <x v="0"/>
    <n v="90"/>
    <x v="0"/>
    <x v="0"/>
    <s v="-"/>
    <x v="7"/>
    <x v="2"/>
    <s v="Pace"/>
  </r>
  <r>
    <x v="8"/>
    <x v="7"/>
    <x v="0"/>
    <s v="Left-hand"/>
    <x v="3"/>
    <n v="80"/>
    <x v="0"/>
    <x v="0"/>
    <s v="-"/>
    <x v="4"/>
    <x v="3"/>
    <s v="Spin"/>
  </r>
  <r>
    <x v="9"/>
    <x v="8"/>
    <x v="0"/>
    <s v="Right-hand"/>
    <x v="2"/>
    <n v="80"/>
    <x v="0"/>
    <x v="0"/>
    <s v="-"/>
    <x v="4"/>
    <x v="3"/>
    <s v="Swing"/>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n v="240"/>
    <x v="0"/>
    <x v="0"/>
    <x v="0"/>
    <s v="Anchoring, Cover Drive"/>
  </r>
  <r>
    <x v="1"/>
    <x v="0"/>
    <x v="0"/>
    <x v="0"/>
    <n v="130"/>
    <x v="1"/>
    <x v="1"/>
    <x v="1"/>
    <s v="Consistency"/>
  </r>
  <r>
    <x v="2"/>
    <x v="1"/>
    <x v="0"/>
    <x v="0"/>
    <n v="240"/>
    <x v="2"/>
    <x v="2"/>
    <x v="2"/>
    <s v="Powerplay Hitting"/>
  </r>
  <r>
    <x v="3"/>
    <x v="1"/>
    <x v="0"/>
    <x v="0"/>
    <n v="140"/>
    <x v="3"/>
    <x v="3"/>
    <x v="3"/>
    <s v="360 Shots"/>
  </r>
  <r>
    <x v="4"/>
    <x v="2"/>
    <x v="1"/>
    <x v="0"/>
    <n v="250"/>
    <x v="4"/>
    <x v="4"/>
    <x v="1"/>
    <s v="Finishing"/>
  </r>
  <r>
    <x v="5"/>
    <x v="2"/>
    <x v="0"/>
    <x v="0"/>
    <n v="90"/>
    <x v="5"/>
    <x v="5"/>
    <x v="1"/>
    <s v="Timing"/>
  </r>
  <r>
    <x v="6"/>
    <x v="3"/>
    <x v="0"/>
    <x v="0"/>
    <n v="100"/>
    <x v="3"/>
    <x v="6"/>
    <x v="4"/>
    <s v="Class"/>
  </r>
  <r>
    <x v="7"/>
    <x v="3"/>
    <x v="0"/>
    <x v="1"/>
    <n v="120"/>
    <x v="6"/>
    <x v="1"/>
    <x v="4"/>
    <s v="Finishing"/>
  </r>
  <r>
    <x v="8"/>
    <x v="4"/>
    <x v="1"/>
    <x v="0"/>
    <n v="120"/>
    <x v="7"/>
    <x v="7"/>
    <x v="1"/>
    <s v="Consistency"/>
  </r>
  <r>
    <x v="9"/>
    <x v="4"/>
    <x v="1"/>
    <x v="1"/>
    <n v="140"/>
    <x v="8"/>
    <x v="8"/>
    <x v="1"/>
    <s v="Aggression"/>
  </r>
  <r>
    <x v="10"/>
    <x v="5"/>
    <x v="1"/>
    <x v="0"/>
    <n v="140"/>
    <x v="9"/>
    <x v="9"/>
    <x v="4"/>
    <s v="Shot Making"/>
  </r>
  <r>
    <x v="11"/>
    <x v="5"/>
    <x v="0"/>
    <x v="0"/>
    <n v="110"/>
    <x v="10"/>
    <x v="4"/>
    <x v="5"/>
    <s v="Power Hitting"/>
  </r>
  <r>
    <x v="12"/>
    <x v="6"/>
    <x v="0"/>
    <x v="1"/>
    <n v="180"/>
    <x v="11"/>
    <x v="10"/>
    <x v="6"/>
    <s v="Aggression"/>
  </r>
  <r>
    <x v="13"/>
    <x v="6"/>
    <x v="1"/>
    <x v="1"/>
    <n v="100"/>
    <x v="5"/>
    <x v="11"/>
    <x v="5"/>
    <s v="Explosive"/>
  </r>
  <r>
    <x v="14"/>
    <x v="7"/>
    <x v="0"/>
    <x v="0"/>
    <n v="90"/>
    <x v="12"/>
    <x v="12"/>
    <x v="7"/>
    <s v="Anchoring"/>
  </r>
  <r>
    <x v="15"/>
    <x v="7"/>
    <x v="0"/>
    <x v="0"/>
    <n v="60"/>
    <x v="13"/>
    <x v="8"/>
    <x v="1"/>
    <s v="Stability"/>
  </r>
  <r>
    <x v="16"/>
    <x v="8"/>
    <x v="0"/>
    <x v="1"/>
    <n v="210"/>
    <x v="11"/>
    <x v="1"/>
    <x v="0"/>
    <s v="Consistency"/>
  </r>
  <r>
    <x v="17"/>
    <x v="4"/>
    <x v="1"/>
    <x v="1"/>
    <n v="70"/>
    <x v="14"/>
    <x v="9"/>
    <x v="8"/>
    <s v="Finisher"/>
  </r>
  <r>
    <x v="18"/>
    <x v="2"/>
    <x v="0"/>
    <x v="1"/>
    <n v="70"/>
    <x v="15"/>
    <x v="13"/>
    <x v="1"/>
    <s v="Consistency"/>
  </r>
  <r>
    <x v="19"/>
    <x v="7"/>
    <x v="0"/>
    <x v="0"/>
    <n v="80"/>
    <x v="16"/>
    <x v="14"/>
    <x v="4"/>
    <s v="Aggression"/>
  </r>
  <r>
    <x v="20"/>
    <x v="6"/>
    <x v="0"/>
    <x v="0"/>
    <n v="70"/>
    <x v="14"/>
    <x v="15"/>
    <x v="5"/>
    <s v="Aggression"/>
  </r>
  <r>
    <x v="21"/>
    <x v="1"/>
    <x v="1"/>
    <x v="1"/>
    <n v="90"/>
    <x v="15"/>
    <x v="14"/>
    <x v="3"/>
    <s v="Explosive"/>
  </r>
  <r>
    <x v="22"/>
    <x v="0"/>
    <x v="1"/>
    <x v="0"/>
    <n v="200"/>
    <x v="17"/>
    <x v="16"/>
    <x v="1"/>
    <s v="Finishing"/>
  </r>
  <r>
    <x v="23"/>
    <x v="5"/>
    <x v="0"/>
    <x v="1"/>
    <n v="60"/>
    <x v="18"/>
    <x v="8"/>
    <x v="9"/>
    <s v="Finisher"/>
  </r>
  <r>
    <x v="24"/>
    <x v="7"/>
    <x v="0"/>
    <x v="0"/>
    <n v="120"/>
    <x v="19"/>
    <x v="17"/>
    <x v="1"/>
    <s v="Top Orde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14"/>
    <n v="10"/>
    <n v="4"/>
    <n v="71.428571430000005"/>
  </r>
  <r>
    <x v="1"/>
    <n v="14"/>
    <n v="9"/>
    <n v="5"/>
    <n v="64.285714290000001"/>
  </r>
  <r>
    <x v="2"/>
    <n v="14"/>
    <n v="9"/>
    <n v="5"/>
    <n v="64.142857140000004"/>
  </r>
  <r>
    <x v="3"/>
    <n v="14"/>
    <n v="8"/>
    <n v="6"/>
    <n v="57.285714290000001"/>
  </r>
  <r>
    <x v="4"/>
    <n v="14"/>
    <n v="8"/>
    <n v="6"/>
    <n v="57.142857139999997"/>
  </r>
  <r>
    <x v="5"/>
    <n v="14"/>
    <n v="7"/>
    <n v="7"/>
    <n v="50"/>
  </r>
  <r>
    <x v="6"/>
    <n v="14"/>
    <n v="6"/>
    <n v="8"/>
    <n v="42.857142860000003"/>
  </r>
  <r>
    <x v="7"/>
    <n v="14"/>
    <n v="6"/>
    <n v="8"/>
    <n v="42.857142860000003"/>
  </r>
  <r>
    <x v="8"/>
    <n v="14"/>
    <n v="5"/>
    <n v="9"/>
    <n v="35.714285709999999"/>
  </r>
  <r>
    <x v="9"/>
    <n v="14"/>
    <n v="5"/>
    <n v="9"/>
    <n v="35.71428570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84628-0C8E-45D1-952D-954E2A897045}" name="lose"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2">
  <location ref="H10:I15" firstHeaderRow="1" firstDataRow="1" firstDataCol="1"/>
  <pivotFields count="5">
    <pivotField axis="axisRow" showAll="0" measureFilter="1" sortType="descending">
      <items count="11">
        <item x="0"/>
        <item x="6"/>
        <item x="3"/>
        <item x="5"/>
        <item x="4"/>
        <item x="1"/>
        <item x="9"/>
        <item x="7"/>
        <item x="2"/>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0"/>
  </rowFields>
  <rowItems count="5">
    <i>
      <x v="9"/>
    </i>
    <i>
      <x v="6"/>
    </i>
    <i>
      <x v="1"/>
    </i>
    <i>
      <x v="7"/>
    </i>
    <i t="grand">
      <x/>
    </i>
  </rowItems>
  <colItems count="1">
    <i/>
  </colItems>
  <dataFields count="1">
    <dataField name="Sum of Matches Lost" fld="3" showDataAs="percentOfTotal" baseField="0" baseItem="0" numFmtId="10"/>
  </dataFields>
  <formats count="2">
    <format dxfId="14">
      <pivotArea grandRow="1" outline="0" collapsedLevelsAreSubtotals="1" fieldPosition="0"/>
    </format>
    <format dxfId="13">
      <pivotArea outline="0" fieldPosition="0">
        <references count="1">
          <reference field="4294967294" count="1">
            <x v="0"/>
          </reference>
        </references>
      </pivotArea>
    </format>
  </formats>
  <chartFormats count="5">
    <chartFormat chart="51" format="10" series="1">
      <pivotArea type="data" outline="0" fieldPosition="0">
        <references count="1">
          <reference field="4294967294" count="1" selected="0">
            <x v="0"/>
          </reference>
        </references>
      </pivotArea>
    </chartFormat>
    <chartFormat chart="51" format="11">
      <pivotArea type="data" outline="0" fieldPosition="0">
        <references count="2">
          <reference field="4294967294" count="1" selected="0">
            <x v="0"/>
          </reference>
          <reference field="0" count="1" selected="0">
            <x v="9"/>
          </reference>
        </references>
      </pivotArea>
    </chartFormat>
    <chartFormat chart="51" format="12">
      <pivotArea type="data" outline="0" fieldPosition="0">
        <references count="2">
          <reference field="4294967294" count="1" selected="0">
            <x v="0"/>
          </reference>
          <reference field="0" count="1" selected="0">
            <x v="6"/>
          </reference>
        </references>
      </pivotArea>
    </chartFormat>
    <chartFormat chart="51" format="13">
      <pivotArea type="data" outline="0" fieldPosition="0">
        <references count="2">
          <reference field="4294967294" count="1" selected="0">
            <x v="0"/>
          </reference>
          <reference field="0" count="1" selected="0">
            <x v="1"/>
          </reference>
        </references>
      </pivotArea>
    </chartFormat>
    <chartFormat chart="51" format="14">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1">
    <filter fld="0" type="valueGreaterThanOrEqual" evalOrder="-1" id="2" iMeasureFld="0">
      <autoFilter ref="A1">
        <filterColumn colId="0">
          <customFilters>
            <customFilter operator="greaterThanOrEqual" val="8"/>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CF3313-E752-409C-AEFC-807B7E9FC1A5}" name="Pivotwic"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E14" firstHeaderRow="1" firstDataRow="1" firstDataCol="1"/>
  <pivotFields count="12">
    <pivotField axis="axisRow" showAll="0" sortType="descending" defaultSubtotal="0">
      <items count="10">
        <item x="4"/>
        <item x="3"/>
        <item x="9"/>
        <item x="0"/>
        <item x="8"/>
        <item x="6"/>
        <item x="7"/>
        <item x="1"/>
        <item x="5"/>
        <item x="2"/>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items count="2">
        <item x="0"/>
        <item t="default"/>
      </items>
    </pivotField>
    <pivotField showAll="0"/>
    <pivotField dataField="1" showAll="0"/>
    <pivotField showAll="0"/>
    <pivotField showAll="0"/>
  </pivotFields>
  <rowFields count="1">
    <field x="0"/>
  </rowFields>
  <rowItems count="11">
    <i>
      <x v="9"/>
    </i>
    <i>
      <x v="1"/>
    </i>
    <i>
      <x v="3"/>
    </i>
    <i>
      <x v="7"/>
    </i>
    <i>
      <x v="8"/>
    </i>
    <i>
      <x v="6"/>
    </i>
    <i>
      <x v="2"/>
    </i>
    <i>
      <x/>
    </i>
    <i>
      <x v="4"/>
    </i>
    <i>
      <x v="5"/>
    </i>
    <i t="grand">
      <x/>
    </i>
  </rowItems>
  <colItems count="1">
    <i/>
  </colItems>
  <dataFields count="1">
    <dataField name="Sum of Wicket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3DDBE-720A-4F96-9EA7-780F159C9EA6}" name="Pivotruns" cacheId="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7">
  <location ref="A3:B14" firstHeaderRow="1" firstDataRow="1" firstDataCol="1"/>
  <pivotFields count="9">
    <pivotField axis="axisRow" showAll="0" measureFilter="1" sortType="descending">
      <items count="26">
        <item x="15"/>
        <item x="7"/>
        <item x="12"/>
        <item x="18"/>
        <item x="22"/>
        <item x="1"/>
        <item x="21"/>
        <item x="11"/>
        <item x="14"/>
        <item x="8"/>
        <item x="24"/>
        <item x="4"/>
        <item x="17"/>
        <item x="20"/>
        <item x="9"/>
        <item x="19"/>
        <item x="13"/>
        <item x="2"/>
        <item x="5"/>
        <item x="10"/>
        <item x="16"/>
        <item x="23"/>
        <item x="6"/>
        <item x="3"/>
        <item x="0"/>
        <item t="default"/>
      </items>
      <autoSortScope>
        <pivotArea dataOnly="0" outline="0" fieldPosition="0">
          <references count="1">
            <reference field="4294967294" count="1" selected="0">
              <x v="0"/>
            </reference>
          </references>
        </pivotArea>
      </autoSortScope>
    </pivotField>
    <pivotField showAll="0">
      <items count="10">
        <item x="2"/>
        <item x="6"/>
        <item x="3"/>
        <item x="4"/>
        <item x="1"/>
        <item x="8"/>
        <item x="0"/>
        <item x="5"/>
        <item x="7"/>
        <item t="default"/>
      </items>
    </pivotField>
    <pivotField showAll="0">
      <items count="3">
        <item x="0"/>
        <item x="1"/>
        <item t="default"/>
      </items>
    </pivotField>
    <pivotField showAll="0">
      <items count="3">
        <item x="1"/>
        <item x="0"/>
        <item t="default"/>
      </items>
    </pivotField>
    <pivotField showAll="0"/>
    <pivotField dataField="1" showAll="0">
      <items count="21">
        <item x="13"/>
        <item x="18"/>
        <item x="14"/>
        <item x="16"/>
        <item x="12"/>
        <item x="15"/>
        <item x="6"/>
        <item x="19"/>
        <item x="5"/>
        <item x="3"/>
        <item x="8"/>
        <item x="10"/>
        <item x="9"/>
        <item x="1"/>
        <item x="7"/>
        <item x="17"/>
        <item x="4"/>
        <item x="2"/>
        <item x="11"/>
        <item x="0"/>
        <item t="default"/>
      </items>
    </pivotField>
    <pivotField showAll="0"/>
    <pivotField showAll="0"/>
    <pivotField showAll="0"/>
  </pivotFields>
  <rowFields count="1">
    <field x="0"/>
  </rowFields>
  <rowItems count="11">
    <i>
      <x v="24"/>
    </i>
    <i>
      <x v="20"/>
    </i>
    <i>
      <x v="2"/>
    </i>
    <i>
      <x v="17"/>
    </i>
    <i>
      <x v="11"/>
    </i>
    <i>
      <x v="4"/>
    </i>
    <i>
      <x v="9"/>
    </i>
    <i>
      <x v="5"/>
    </i>
    <i>
      <x v="19"/>
    </i>
    <i>
      <x v="7"/>
    </i>
    <i t="grand">
      <x/>
    </i>
  </rowItems>
  <colItems count="1">
    <i/>
  </colItems>
  <dataFields count="1">
    <dataField name="Sum of runs" fld="5" baseField="0" baseItem="20"/>
  </dataFields>
  <chartFormats count="1">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A6696-2C37-48A1-A556-DE1F8319CC1F}" name="win"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7">
  <location ref="G3:H7" firstHeaderRow="1" firstDataRow="1" firstDataCol="1"/>
  <pivotFields count="5">
    <pivotField axis="axisRow" showAll="0" measureFilter="1">
      <items count="11">
        <item x="0"/>
        <item x="6"/>
        <item x="3"/>
        <item x="5"/>
        <item x="4"/>
        <item x="1"/>
        <item x="9"/>
        <item x="7"/>
        <item x="2"/>
        <item x="8"/>
        <item t="default"/>
      </items>
    </pivotField>
    <pivotField showAll="0"/>
    <pivotField showAll="0"/>
    <pivotField showAll="0"/>
    <pivotField dataField="1" showAll="0"/>
  </pivotFields>
  <rowFields count="1">
    <field x="0"/>
  </rowFields>
  <rowItems count="4">
    <i>
      <x/>
    </i>
    <i>
      <x v="5"/>
    </i>
    <i>
      <x v="8"/>
    </i>
    <i t="grand">
      <x/>
    </i>
  </rowItems>
  <colItems count="1">
    <i/>
  </colItems>
  <dataFields count="1">
    <dataField name="Sum of Win %" fld="4" baseField="0" baseItem="0"/>
  </dataFields>
  <formats count="2">
    <format dxfId="15">
      <pivotArea collapsedLevelsAreSubtotals="1" fieldPosition="0">
        <references count="2">
          <reference field="4294967294" count="1" selected="0">
            <x v="0"/>
          </reference>
          <reference field="0" count="0"/>
        </references>
      </pivotArea>
    </format>
    <format dxfId="16">
      <pivotArea grandRow="1" outline="0" collapsedLevelsAreSubtotals="1" fieldPosition="0"/>
    </format>
  </formats>
  <chartFormats count="17">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0" count="1" selected="0">
            <x v="2"/>
          </reference>
        </references>
      </pivotArea>
    </chartFormat>
    <chartFormat chart="21" format="2">
      <pivotArea type="data" outline="0" fieldPosition="0">
        <references count="2">
          <reference field="4294967294" count="1" selected="0">
            <x v="0"/>
          </reference>
          <reference field="0" count="1" selected="0">
            <x v="0"/>
          </reference>
        </references>
      </pivotArea>
    </chartFormat>
    <chartFormat chart="21" format="3">
      <pivotArea type="data" outline="0" fieldPosition="0">
        <references count="2">
          <reference field="4294967294" count="1" selected="0">
            <x v="0"/>
          </reference>
          <reference field="0" count="1" selected="0">
            <x v="5"/>
          </reference>
        </references>
      </pivotArea>
    </chartFormat>
    <chartFormat chart="21" format="4">
      <pivotArea type="data" outline="0" fieldPosition="0">
        <references count="2">
          <reference field="4294967294" count="1" selected="0">
            <x v="0"/>
          </reference>
          <reference field="0" count="1" selected="0">
            <x v="8"/>
          </reference>
        </references>
      </pivotArea>
    </chartFormat>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0" count="1" selected="0">
            <x v="8"/>
          </reference>
        </references>
      </pivotArea>
    </chartFormat>
    <chartFormat chart="30" format="2">
      <pivotArea type="data" outline="0" fieldPosition="0">
        <references count="2">
          <reference field="4294967294" count="1" selected="0">
            <x v="0"/>
          </reference>
          <reference field="0" count="1" selected="0">
            <x v="0"/>
          </reference>
        </references>
      </pivotArea>
    </chartFormat>
    <chartFormat chart="30" format="3">
      <pivotArea type="data" outline="0" fieldPosition="0">
        <references count="2">
          <reference field="4294967294" count="1" selected="0">
            <x v="0"/>
          </reference>
          <reference field="0" count="1" selected="0">
            <x v="5"/>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2">
          <reference field="4294967294" count="1" selected="0">
            <x v="0"/>
          </reference>
          <reference field="0" count="1" selected="0">
            <x v="0"/>
          </reference>
        </references>
      </pivotArea>
    </chartFormat>
    <chartFormat chart="35" format="6">
      <pivotArea type="data" outline="0" fieldPosition="0">
        <references count="2">
          <reference field="4294967294" count="1" selected="0">
            <x v="0"/>
          </reference>
          <reference field="0" count="1" selected="0">
            <x v="5"/>
          </reference>
        </references>
      </pivotArea>
    </chartFormat>
    <chartFormat chart="35" format="7">
      <pivotArea type="data" outline="0" fieldPosition="0">
        <references count="2">
          <reference field="4294967294" count="1" selected="0">
            <x v="0"/>
          </reference>
          <reference field="0" count="1" selected="0">
            <x v="8"/>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0" count="1" selected="0">
            <x v="0"/>
          </reference>
        </references>
      </pivotArea>
    </chartFormat>
    <chartFormat chart="36" format="10">
      <pivotArea type="data" outline="0" fieldPosition="0">
        <references count="2">
          <reference field="4294967294" count="1" selected="0">
            <x v="0"/>
          </reference>
          <reference field="0" count="1" selected="0">
            <x v="5"/>
          </reference>
        </references>
      </pivotArea>
    </chartFormat>
    <chartFormat chart="36" format="1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6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EDD8E5-050C-4CC2-BF33-73DD4EA174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F7" firstHeaderRow="0" firstDataRow="1" firstDataCol="0"/>
  <pivotFields count="12">
    <pivotField showAll="0">
      <items count="50">
        <item x="39"/>
        <item x="24"/>
        <item x="10"/>
        <item x="28"/>
        <item x="22"/>
        <item x="32"/>
        <item x="25"/>
        <item x="14"/>
        <item x="20"/>
        <item x="42"/>
        <item x="35"/>
        <item x="45"/>
        <item x="1"/>
        <item x="2"/>
        <item x="5"/>
        <item x="41"/>
        <item x="47"/>
        <item x="6"/>
        <item x="18"/>
        <item x="23"/>
        <item x="15"/>
        <item x="37"/>
        <item x="27"/>
        <item x="34"/>
        <item x="48"/>
        <item x="30"/>
        <item x="36"/>
        <item x="7"/>
        <item x="33"/>
        <item x="31"/>
        <item x="40"/>
        <item x="16"/>
        <item x="38"/>
        <item x="13"/>
        <item x="43"/>
        <item x="8"/>
        <item x="21"/>
        <item x="3"/>
        <item x="9"/>
        <item x="17"/>
        <item x="26"/>
        <item x="46"/>
        <item x="12"/>
        <item x="11"/>
        <item x="4"/>
        <item x="29"/>
        <item x="0"/>
        <item x="44"/>
        <item x="19"/>
        <item t="default"/>
      </items>
    </pivotField>
    <pivotField showAll="0">
      <items count="11">
        <item x="2"/>
        <item x="7"/>
        <item x="4"/>
        <item x="3"/>
        <item x="5"/>
        <item x="1"/>
        <item x="9"/>
        <item x="0"/>
        <item x="6"/>
        <item x="8"/>
        <item t="default"/>
      </items>
    </pivotField>
    <pivotField showAll="0">
      <items count="5">
        <item x="1"/>
        <item x="0"/>
        <item x="2"/>
        <item x="3"/>
        <item t="default"/>
      </items>
    </pivotField>
    <pivotField showAll="0"/>
    <pivotField showAll="0"/>
    <pivotField dataField="1" showAll="0"/>
    <pivotField dataField="1" showAll="0">
      <items count="31">
        <item x="10"/>
        <item x="20"/>
        <item x="28"/>
        <item x="25"/>
        <item x="26"/>
        <item x="21"/>
        <item x="9"/>
        <item x="17"/>
        <item x="19"/>
        <item x="22"/>
        <item x="23"/>
        <item x="18"/>
        <item x="24"/>
        <item x="5"/>
        <item x="11"/>
        <item x="29"/>
        <item x="2"/>
        <item x="8"/>
        <item x="4"/>
        <item x="13"/>
        <item x="15"/>
        <item x="14"/>
        <item x="1"/>
        <item x="12"/>
        <item x="27"/>
        <item x="7"/>
        <item x="3"/>
        <item x="16"/>
        <item x="0"/>
        <item x="6"/>
        <item t="default"/>
      </items>
    </pivotField>
    <pivotField showAll="0">
      <items count="24">
        <item x="20"/>
        <item x="21"/>
        <item x="10"/>
        <item x="22"/>
        <item x="16"/>
        <item x="2"/>
        <item x="8"/>
        <item x="18"/>
        <item x="3"/>
        <item x="5"/>
        <item x="13"/>
        <item x="4"/>
        <item x="15"/>
        <item x="1"/>
        <item x="17"/>
        <item x="11"/>
        <item x="0"/>
        <item x="9"/>
        <item x="7"/>
        <item x="19"/>
        <item x="14"/>
        <item x="12"/>
        <item x="6"/>
        <item t="default"/>
      </items>
    </pivotField>
    <pivotField dataField="1" showAll="0">
      <items count="15">
        <item x="13"/>
        <item x="11"/>
        <item x="0"/>
        <item x="3"/>
        <item x="1"/>
        <item x="10"/>
        <item x="8"/>
        <item x="4"/>
        <item x="9"/>
        <item x="2"/>
        <item x="7"/>
        <item x="12"/>
        <item x="6"/>
        <item x="5"/>
        <item t="default"/>
      </items>
    </pivotField>
    <pivotField dataField="1" showAll="0">
      <items count="17">
        <item x="10"/>
        <item x="13"/>
        <item x="1"/>
        <item x="14"/>
        <item x="15"/>
        <item x="2"/>
        <item x="11"/>
        <item x="4"/>
        <item x="8"/>
        <item x="12"/>
        <item x="6"/>
        <item x="3"/>
        <item x="5"/>
        <item x="9"/>
        <item x="7"/>
        <item x="0"/>
        <item t="default"/>
      </items>
    </pivotField>
    <pivotField showAll="0"/>
    <pivotField showAll="0"/>
  </pivotFields>
  <rowItems count="1">
    <i/>
  </rowItems>
  <colFields count="1">
    <field x="-2"/>
  </colFields>
  <colItems count="4">
    <i>
      <x/>
    </i>
    <i i="1">
      <x v="1"/>
    </i>
    <i i="2">
      <x v="2"/>
    </i>
    <i i="3">
      <x v="3"/>
    </i>
  </colItems>
  <dataFields count="4">
    <dataField name="Sum of Matches" fld="5" baseField="0" baseItem="0"/>
    <dataField name="Max of Runs" fld="6" subtotal="max" baseField="0" baseItem="0"/>
    <dataField name="Sum of Wickets" fld="9" baseField="0" baseItem="0"/>
    <dataField name="Average of Strike Rate" fld="8" subtotal="average" baseField="0" baseItem="0" numFmtId="164"/>
  </dataFields>
  <formats count="1">
    <format dxfId="2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13D40B6B-E2BB-4526-B61B-60D83AF03CDD}" sourceName="Player Name">
  <pivotTables>
    <pivotTable tabId="5" name="Pivotwic"/>
  </pivotTables>
  <data>
    <tabular pivotCacheId="2117817765">
      <items count="10">
        <i x="4" s="1"/>
        <i x="3" s="1"/>
        <i x="9" s="1"/>
        <i x="0" s="1"/>
        <i x="8" s="1"/>
        <i x="6" s="1"/>
        <i x="7"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6CB13483-65F1-4DF8-982D-0FD7B3508DD1}" sourceName="team">
  <pivotTables>
    <pivotTable tabId="5" name="Pivotruns"/>
  </pivotTables>
  <data>
    <tabular pivotCacheId="1264118357">
      <items count="9">
        <i x="2" s="1"/>
        <i x="6" s="1"/>
        <i x="3" s="1"/>
        <i x="4" s="1"/>
        <i x="1" s="1"/>
        <i x="8" s="1"/>
        <i x="0"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 xr10:uid="{741D294A-15D9-4A05-B422-EDE7219B594A}" sourceName="player">
  <pivotTables>
    <pivotTable tabId="5" name="Pivotruns"/>
  </pivotTables>
  <data>
    <tabular pivotCacheId="1264118357" sortOrder="descending">
      <items count="25">
        <i x="0" s="1"/>
        <i x="3" s="1"/>
        <i x="6" s="1"/>
        <i x="23" s="1"/>
        <i x="16" s="1"/>
        <i x="10" s="1"/>
        <i x="5" s="1"/>
        <i x="2" s="1"/>
        <i x="13" s="1"/>
        <i x="19" s="1"/>
        <i x="9" s="1"/>
        <i x="20" s="1"/>
        <i x="17" s="1"/>
        <i x="4" s="1"/>
        <i x="24" s="1"/>
        <i x="8" s="1"/>
        <i x="14" s="1"/>
        <i x="11" s="1"/>
        <i x="21" s="1"/>
        <i x="1" s="1"/>
        <i x="22" s="1"/>
        <i x="18" s="1"/>
        <i x="12" s="1"/>
        <i x="7"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er Name" xr10:uid="{051C55BE-C8BE-4A02-A782-4B25DD43452F}" cache="Slicer_Player_Name" caption="Player Name" rowHeight="234950"/>
  <slicer name="team" xr10:uid="{1CC70342-7843-4AFC-B1E3-585E2A1A83FB}" cache="Slicer_team" caption="team" rowHeight="234950"/>
  <slicer name="player 1" xr10:uid="{BD0C8845-A1F4-4283-8C04-CBB80FAFE899}" cache="Slicer_player" caption="player" startItem="1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43C6C-478A-479C-BBC4-8B0925891149}" name="Table1" displayName="Table1" ref="A1:L50" totalsRowShown="0" headerRowDxfId="12" dataDxfId="11">
  <autoFilter ref="A1:L50" xr:uid="{C9B43C6C-478A-479C-BBC4-8B0925891149}"/>
  <tableColumns count="12">
    <tableColumn id="1" xr3:uid="{10FB6312-0000-402B-990D-44B610D9A21A}" name="Player Name"/>
    <tableColumn id="2" xr3:uid="{9DF2BEE5-3F29-44F3-BAEC-B6338AD0C5F6}" name="Team"/>
    <tableColumn id="3" xr3:uid="{D512D566-CD15-44DD-96D3-7EF2D924C530}" name="Role"/>
    <tableColumn id="4" xr3:uid="{7FC4BA80-65C1-4292-9587-6DB9E1CCD89E}" name="Batting Style"/>
    <tableColumn id="5" xr3:uid="{E36DCAE4-7644-4150-B3E5-61C28947BF20}" name="Bowling Style"/>
    <tableColumn id="6" xr3:uid="{B58904D4-080D-4FA3-96F3-6A3C1B66F51F}" name="Matches" dataDxfId="10"/>
    <tableColumn id="7" xr3:uid="{3FECAB39-AD61-47B6-B52C-C428A93AFB9C}" name="Runs" dataDxfId="9"/>
    <tableColumn id="8" xr3:uid="{AE8960E0-DDD4-46D6-9F68-C10DB5898DE1}" name="Avg" dataDxfId="8"/>
    <tableColumn id="9" xr3:uid="{B598D2DD-C826-4E45-8958-6AC070B87E6E}" name="Strike Rate" dataDxfId="7"/>
    <tableColumn id="10" xr3:uid="{9BF16E7B-9ECC-4FEC-9B79-EA2645C3540A}" name="Wickets" dataDxfId="6"/>
    <tableColumn id="11" xr3:uid="{9493A45B-714C-4829-B090-CD115057AD3B}" name="Economy" dataDxfId="5"/>
    <tableColumn id="12" xr3:uid="{5EC8626A-4CFD-46AA-BD97-158C4B606353}" name="Skill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4C40A1-B1CC-4D8C-B0C9-4C75AEA91FDC}" name="Table2" displayName="Table2" ref="A53:J78" totalsRowShown="0" headerRowDxfId="65" dataDxfId="64">
  <autoFilter ref="A53:J78" xr:uid="{724C40A1-B1CC-4D8C-B0C9-4C75AEA91FDC}"/>
  <sortState xmlns:xlrd2="http://schemas.microsoft.com/office/spreadsheetml/2017/richdata2" ref="A54:J78">
    <sortCondition ref="G53:G78"/>
  </sortState>
  <tableColumns count="10">
    <tableColumn id="1" xr3:uid="{0BEA43CE-4619-43C2-BDA1-9AF433F325E8}" name="player" dataDxfId="63"/>
    <tableColumn id="2" xr3:uid="{0D865363-0ABC-4498-A2D6-79950AF18D74}" name="team" dataDxfId="62"/>
    <tableColumn id="3" xr3:uid="{BA4242E0-D25C-490C-A08A-F34BCE13F0B4}" name="role" dataDxfId="61"/>
    <tableColumn id="4" xr3:uid="{0FEA9345-8F13-4108-9548-6F86AD7C2C5B}" name="batsman type" dataDxfId="60"/>
    <tableColumn id="5" xr3:uid="{C71E3A7F-9C92-405B-B2B4-4EFACA58459D}" name="matches" dataDxfId="59"/>
    <tableColumn id="6" xr3:uid="{5BFDF926-970D-40EA-8FDB-533C6DA8C265}" name="runs" dataDxfId="58"/>
    <tableColumn id="11" xr3:uid="{DD95BD85-19D9-4769-8CEC-3B2095744E6D}" name="RANK" dataDxfId="4">
      <calculatedColumnFormula>_xlfn.RANK.EQ(Table2[[#This Row],[runs]],Table2[runs]) + COUNTIF(INDEX(Table2[runs],1):Table2[[#This Row],[runs]],Table2[[#This Row],[runs]]) - 1</calculatedColumnFormula>
    </tableColumn>
    <tableColumn id="7" xr3:uid="{7BBCE94F-1D7E-434C-B291-B989CCCCEB92}" name="avg" dataDxfId="57"/>
    <tableColumn id="8" xr3:uid="{12391AB5-7573-41F8-8AFD-732ECD5CD3C8}" name="sr rate" dataDxfId="56"/>
    <tableColumn id="9" xr3:uid="{D9CD0875-39B0-454C-810F-E03163C80879}" name="skill" dataDxfId="5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7C615D-E917-4A66-9704-5181D64B19D1}" name="Table3" displayName="Table3" ref="A83:L93" totalsRowShown="0" headerRowDxfId="54" dataDxfId="52" headerRowBorderDxfId="53">
  <autoFilter ref="A83:L93" xr:uid="{2B7C615D-E917-4A66-9704-5181D64B19D1}"/>
  <tableColumns count="12">
    <tableColumn id="1" xr3:uid="{E9A94D21-B86C-4CBA-8867-574CB1179692}" name="Player Name" dataDxfId="51"/>
    <tableColumn id="2" xr3:uid="{9F41F6AA-8FEF-48A7-86D2-676B62D464F7}" name="Team" dataDxfId="50"/>
    <tableColumn id="3" xr3:uid="{A7B5E2EF-B6F3-4B14-9B77-A004ED72DC30}" name="Role" dataDxfId="49"/>
    <tableColumn id="4" xr3:uid="{45EC147E-5AC9-4F8B-A257-B4794E8A13EA}" name="Batting Style" dataDxfId="48"/>
    <tableColumn id="5" xr3:uid="{69498958-0F73-440C-8223-9DDEA0B3C25A}" name="Bowling Style" dataDxfId="47"/>
    <tableColumn id="6" xr3:uid="{6BF05FF4-0B3D-4192-80AE-B248D90B7F8A}" name="Matches" dataDxfId="46"/>
    <tableColumn id="7" xr3:uid="{F46F44E0-7151-44AB-A41D-F0F7F246B10B}" name="Runs" dataDxfId="45"/>
    <tableColumn id="8" xr3:uid="{AB404896-41BA-4B65-8F78-100E43677735}" name="Avg" dataDxfId="44"/>
    <tableColumn id="9" xr3:uid="{118C778A-0F77-4072-837F-A46313A40FF2}" name="Strike Rate" dataDxfId="43"/>
    <tableColumn id="10" xr3:uid="{DDDDF49E-0BF7-4C02-97FA-55073D69B0A3}" name="Wickets" dataDxfId="42"/>
    <tableColumn id="11" xr3:uid="{89732071-7E6B-42F5-ACEB-9FB35E97A511}" name="Economy" dataDxfId="41"/>
    <tableColumn id="12" xr3:uid="{1D9DD54B-CB89-40FE-818B-4F9925CA604B}" name="Skills" dataDxfId="4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67C87B-A46D-4EC5-A594-EEB694DC74E7}" name="Table4" displayName="Table4" ref="A96:L110" totalsRowShown="0" headerRowDxfId="39" dataDxfId="37" headerRowBorderDxfId="38">
  <autoFilter ref="A96:L110" xr:uid="{4A67C87B-A46D-4EC5-A594-EEB694DC74E7}"/>
  <tableColumns count="12">
    <tableColumn id="1" xr3:uid="{BAD6058E-24CC-488E-97DB-F84CA8ABFEFD}" name="Player Name" dataDxfId="36"/>
    <tableColumn id="2" xr3:uid="{3B1102F7-3524-4060-84C8-DD73F31406D8}" name="Team" dataDxfId="35"/>
    <tableColumn id="3" xr3:uid="{062136C0-ECC6-494A-BDA7-78C467C740A5}" name="Role" dataDxfId="34"/>
    <tableColumn id="4" xr3:uid="{F178A341-48C8-4DF3-8BE7-0A56DC2B164E}" name="Batting Style" dataDxfId="33"/>
    <tableColumn id="5" xr3:uid="{1D7D0754-5166-4119-B9DF-E5C8CD9E96B7}" name="Bowling Style" dataDxfId="32"/>
    <tableColumn id="6" xr3:uid="{FEC55B72-652A-47CC-A7C9-0E9354AB7BE7}" name="Matches" dataDxfId="31"/>
    <tableColumn id="7" xr3:uid="{3F8F3C1C-7C53-4E90-8A86-C40E87392B69}" name="Runs" dataDxfId="30"/>
    <tableColumn id="8" xr3:uid="{2BA9ECF5-2A83-444D-A928-7151F569AE8A}" name="Avg" dataDxfId="29"/>
    <tableColumn id="9" xr3:uid="{BD27101C-273A-45D3-A744-05B6B558E5D3}" name="Strike Rate" dataDxfId="28"/>
    <tableColumn id="10" xr3:uid="{D83120E6-92C5-444D-84E9-901127E81BCF}" name="Wickets" dataDxfId="27"/>
    <tableColumn id="11" xr3:uid="{47C1DAC1-1093-462F-9A3C-420F66F73827}" name="Economy" dataDxfId="26"/>
    <tableColumn id="12" xr3:uid="{0BD0C949-9B64-4861-A169-6A5B7DF12093}" name="Skills" dataDxfId="2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B46A36-D230-4201-A1E5-1AAA51CBECE0}" name="Table5" displayName="Table5" ref="A113:E123" totalsRowShown="0" headerRowDxfId="18" dataDxfId="17">
  <autoFilter ref="A113:E123" xr:uid="{0CB46A36-D230-4201-A1E5-1AAA51CBECE0}"/>
  <sortState xmlns:xlrd2="http://schemas.microsoft.com/office/spreadsheetml/2017/richdata2" ref="A114:E123">
    <sortCondition descending="1" ref="E113:E123"/>
  </sortState>
  <tableColumns count="5">
    <tableColumn id="1" xr3:uid="{97F2148D-F580-4124-B537-2471D8D4C9BE}" name="Team" dataDxfId="23"/>
    <tableColumn id="2" xr3:uid="{7A906BF0-D1B9-444A-ACAB-6FCEB688F159}" name="Matches Played" dataDxfId="22"/>
    <tableColumn id="3" xr3:uid="{F4862E26-B441-4C4C-BDD9-C680E683D8AC}" name="Matches Won" dataDxfId="21"/>
    <tableColumn id="4" xr3:uid="{9A4E00C1-027B-454D-85D0-8EDD4101F675}" name="Matches Lost" dataDxfId="20"/>
    <tableColumn id="5" xr3:uid="{A7C65F28-B8D9-454C-949A-5B7E86AECC8D}" name="Win %" dataDxfId="1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opLeftCell="A39" workbookViewId="0">
      <selection activeCell="G54" sqref="G54"/>
    </sheetView>
  </sheetViews>
  <sheetFormatPr defaultRowHeight="14.4" x14ac:dyDescent="0.3"/>
  <cols>
    <col min="1" max="1" width="24" bestFit="1" customWidth="1"/>
    <col min="2" max="2" width="15.88671875" customWidth="1"/>
    <col min="3" max="3" width="13.88671875" customWidth="1"/>
    <col min="4" max="4" width="14.44140625" customWidth="1"/>
    <col min="5" max="5" width="14.109375" customWidth="1"/>
    <col min="6" max="6" width="10.109375" style="1" customWidth="1"/>
    <col min="7" max="7" width="13" style="1" bestFit="1" customWidth="1"/>
    <col min="8" max="8" width="8.88671875" style="1"/>
    <col min="9" max="10" width="19.6640625" style="1" bestFit="1" customWidth="1"/>
    <col min="11" max="11" width="10.77734375" style="1" customWidth="1"/>
    <col min="12" max="12" width="19.6640625" bestFit="1" customWidth="1"/>
  </cols>
  <sheetData>
    <row r="1" spans="1:12" x14ac:dyDescent="0.3">
      <c r="A1" t="s">
        <v>0</v>
      </c>
      <c r="B1" t="s">
        <v>1</v>
      </c>
      <c r="C1" t="s">
        <v>2</v>
      </c>
      <c r="D1" t="s">
        <v>3</v>
      </c>
      <c r="E1" t="s">
        <v>4</v>
      </c>
      <c r="F1" s="1" t="s">
        <v>5</v>
      </c>
      <c r="G1" s="1" t="s">
        <v>6</v>
      </c>
      <c r="H1" s="1" t="s">
        <v>7</v>
      </c>
      <c r="I1" s="1" t="s">
        <v>8</v>
      </c>
      <c r="J1" s="1" t="s">
        <v>9</v>
      </c>
      <c r="K1" s="1" t="s">
        <v>10</v>
      </c>
      <c r="L1" t="s">
        <v>11</v>
      </c>
    </row>
    <row r="2" spans="1:12" x14ac:dyDescent="0.3">
      <c r="A2" t="s">
        <v>12</v>
      </c>
      <c r="B2" t="s">
        <v>13</v>
      </c>
      <c r="C2" t="s">
        <v>14</v>
      </c>
      <c r="D2" t="s">
        <v>15</v>
      </c>
      <c r="E2" t="s">
        <v>16</v>
      </c>
      <c r="F2" s="1">
        <v>240</v>
      </c>
      <c r="G2" s="1">
        <v>7263</v>
      </c>
      <c r="H2" s="1">
        <v>37.5</v>
      </c>
      <c r="I2" s="1">
        <v>130</v>
      </c>
      <c r="J2" s="1" t="s">
        <v>16</v>
      </c>
      <c r="K2" s="1" t="s">
        <v>16</v>
      </c>
      <c r="L2" t="s">
        <v>17</v>
      </c>
    </row>
    <row r="3" spans="1:12" x14ac:dyDescent="0.3">
      <c r="A3" t="s">
        <v>18</v>
      </c>
      <c r="B3" t="s">
        <v>13</v>
      </c>
      <c r="C3" t="s">
        <v>14</v>
      </c>
      <c r="D3" t="s">
        <v>15</v>
      </c>
      <c r="E3" t="s">
        <v>16</v>
      </c>
      <c r="F3" s="1">
        <v>130</v>
      </c>
      <c r="G3" s="1">
        <v>4000</v>
      </c>
      <c r="H3" s="1">
        <v>35</v>
      </c>
      <c r="I3" s="1">
        <v>135</v>
      </c>
      <c r="J3" s="1" t="s">
        <v>16</v>
      </c>
      <c r="K3" s="1" t="s">
        <v>16</v>
      </c>
      <c r="L3" t="s">
        <v>19</v>
      </c>
    </row>
    <row r="4" spans="1:12" x14ac:dyDescent="0.3">
      <c r="A4" t="s">
        <v>20</v>
      </c>
      <c r="B4" t="s">
        <v>13</v>
      </c>
      <c r="C4" t="s">
        <v>21</v>
      </c>
      <c r="D4" t="s">
        <v>15</v>
      </c>
      <c r="E4" t="s">
        <v>22</v>
      </c>
      <c r="F4" s="1">
        <v>120</v>
      </c>
      <c r="G4" s="1">
        <v>2700</v>
      </c>
      <c r="H4" s="1">
        <v>26</v>
      </c>
      <c r="I4" s="1">
        <v>155</v>
      </c>
      <c r="J4" s="1">
        <v>35</v>
      </c>
      <c r="K4" s="1">
        <v>7.5</v>
      </c>
      <c r="L4" t="s">
        <v>23</v>
      </c>
    </row>
    <row r="5" spans="1:12" x14ac:dyDescent="0.3">
      <c r="A5" t="s">
        <v>24</v>
      </c>
      <c r="B5" t="s">
        <v>25</v>
      </c>
      <c r="C5" t="s">
        <v>14</v>
      </c>
      <c r="D5" t="s">
        <v>15</v>
      </c>
      <c r="E5" t="s">
        <v>16</v>
      </c>
      <c r="F5" s="1">
        <v>240</v>
      </c>
      <c r="G5" s="1">
        <v>6200</v>
      </c>
      <c r="H5" s="1">
        <v>29</v>
      </c>
      <c r="I5" s="1">
        <v>131</v>
      </c>
      <c r="J5" s="1" t="s">
        <v>16</v>
      </c>
      <c r="K5" s="1" t="s">
        <v>16</v>
      </c>
      <c r="L5" t="s">
        <v>26</v>
      </c>
    </row>
    <row r="6" spans="1:12" x14ac:dyDescent="0.3">
      <c r="A6" t="s">
        <v>27</v>
      </c>
      <c r="B6" t="s">
        <v>25</v>
      </c>
      <c r="C6" t="s">
        <v>14</v>
      </c>
      <c r="D6" t="s">
        <v>15</v>
      </c>
      <c r="E6" t="s">
        <v>16</v>
      </c>
      <c r="F6" s="1">
        <v>140</v>
      </c>
      <c r="G6" s="1">
        <v>3200</v>
      </c>
      <c r="H6" s="1">
        <v>33</v>
      </c>
      <c r="I6" s="1">
        <v>145</v>
      </c>
      <c r="J6" s="1" t="s">
        <v>16</v>
      </c>
      <c r="K6" s="1" t="s">
        <v>16</v>
      </c>
      <c r="L6" t="s">
        <v>28</v>
      </c>
    </row>
    <row r="7" spans="1:12" x14ac:dyDescent="0.3">
      <c r="A7" t="s">
        <v>29</v>
      </c>
      <c r="B7" t="s">
        <v>25</v>
      </c>
      <c r="C7" t="s">
        <v>21</v>
      </c>
      <c r="D7" t="s">
        <v>15</v>
      </c>
      <c r="E7" t="s">
        <v>30</v>
      </c>
      <c r="F7" s="1">
        <v>130</v>
      </c>
      <c r="G7" s="1">
        <v>2300</v>
      </c>
      <c r="H7" s="1">
        <v>30</v>
      </c>
      <c r="I7" s="1">
        <v>145</v>
      </c>
      <c r="J7" s="1">
        <v>60</v>
      </c>
      <c r="K7" s="1">
        <v>8.5</v>
      </c>
      <c r="L7" t="s">
        <v>31</v>
      </c>
    </row>
    <row r="8" spans="1:12" x14ac:dyDescent="0.3">
      <c r="A8" t="s">
        <v>32</v>
      </c>
      <c r="B8" t="s">
        <v>25</v>
      </c>
      <c r="C8" t="s">
        <v>33</v>
      </c>
      <c r="D8" t="s">
        <v>15</v>
      </c>
      <c r="E8" t="s">
        <v>34</v>
      </c>
      <c r="F8" s="1">
        <v>120</v>
      </c>
      <c r="G8" s="1" t="s">
        <v>16</v>
      </c>
      <c r="H8" s="1" t="s">
        <v>16</v>
      </c>
      <c r="I8" s="1" t="s">
        <v>16</v>
      </c>
      <c r="J8" s="1">
        <v>150</v>
      </c>
      <c r="K8" s="1">
        <v>7</v>
      </c>
      <c r="L8" t="s">
        <v>35</v>
      </c>
    </row>
    <row r="9" spans="1:12" x14ac:dyDescent="0.3">
      <c r="A9" t="s">
        <v>36</v>
      </c>
      <c r="B9" t="s">
        <v>37</v>
      </c>
      <c r="C9" t="s">
        <v>38</v>
      </c>
      <c r="D9" t="s">
        <v>15</v>
      </c>
      <c r="E9" t="s">
        <v>16</v>
      </c>
      <c r="F9" s="1">
        <v>250</v>
      </c>
      <c r="G9" s="1">
        <v>5082</v>
      </c>
      <c r="H9" s="1">
        <v>39</v>
      </c>
      <c r="I9" s="1">
        <v>135</v>
      </c>
      <c r="J9" s="1" t="s">
        <v>16</v>
      </c>
      <c r="K9" s="1" t="s">
        <v>16</v>
      </c>
      <c r="L9" t="s">
        <v>31</v>
      </c>
    </row>
    <row r="10" spans="1:12" x14ac:dyDescent="0.3">
      <c r="A10" t="s">
        <v>39</v>
      </c>
      <c r="B10" t="s">
        <v>37</v>
      </c>
      <c r="C10" t="s">
        <v>21</v>
      </c>
      <c r="D10" t="s">
        <v>40</v>
      </c>
      <c r="E10" t="s">
        <v>41</v>
      </c>
      <c r="F10" s="1">
        <v>220</v>
      </c>
      <c r="G10" s="1">
        <v>2800</v>
      </c>
      <c r="H10" s="1">
        <v>27</v>
      </c>
      <c r="I10" s="1">
        <v>130</v>
      </c>
      <c r="J10" s="1">
        <v>150</v>
      </c>
      <c r="K10" s="1">
        <v>7.5</v>
      </c>
      <c r="L10" t="s">
        <v>42</v>
      </c>
    </row>
    <row r="11" spans="1:12" x14ac:dyDescent="0.3">
      <c r="A11" t="s">
        <v>43</v>
      </c>
      <c r="B11" t="s">
        <v>37</v>
      </c>
      <c r="C11" t="s">
        <v>14</v>
      </c>
      <c r="D11" t="s">
        <v>15</v>
      </c>
      <c r="E11" t="s">
        <v>16</v>
      </c>
      <c r="F11" s="1">
        <v>90</v>
      </c>
      <c r="G11" s="1">
        <v>2800</v>
      </c>
      <c r="H11" s="1">
        <v>38</v>
      </c>
      <c r="I11" s="1">
        <v>135</v>
      </c>
      <c r="J11" s="1" t="s">
        <v>16</v>
      </c>
      <c r="K11" s="1" t="s">
        <v>16</v>
      </c>
      <c r="L11" t="s">
        <v>44</v>
      </c>
    </row>
    <row r="12" spans="1:12" x14ac:dyDescent="0.3">
      <c r="A12" t="s">
        <v>45</v>
      </c>
      <c r="B12" t="s">
        <v>46</v>
      </c>
      <c r="C12" t="s">
        <v>21</v>
      </c>
      <c r="D12" t="s">
        <v>15</v>
      </c>
      <c r="E12" t="s">
        <v>34</v>
      </c>
      <c r="F12" s="1">
        <v>110</v>
      </c>
      <c r="G12" s="1">
        <v>2300</v>
      </c>
      <c r="H12" s="1">
        <v>29</v>
      </c>
      <c r="I12" s="1">
        <v>175</v>
      </c>
      <c r="J12" s="1">
        <v>100</v>
      </c>
      <c r="K12" s="1">
        <v>9</v>
      </c>
      <c r="L12" t="s">
        <v>23</v>
      </c>
    </row>
    <row r="13" spans="1:12" x14ac:dyDescent="0.3">
      <c r="A13" t="s">
        <v>47</v>
      </c>
      <c r="B13" t="s">
        <v>46</v>
      </c>
      <c r="C13" t="s">
        <v>21</v>
      </c>
      <c r="D13" t="s">
        <v>40</v>
      </c>
      <c r="E13" t="s">
        <v>48</v>
      </c>
      <c r="F13" s="1">
        <v>160</v>
      </c>
      <c r="G13" s="1">
        <v>1000</v>
      </c>
      <c r="H13" s="1">
        <v>20</v>
      </c>
      <c r="I13" s="1">
        <v>160</v>
      </c>
      <c r="J13" s="1">
        <v>160</v>
      </c>
      <c r="K13" s="1">
        <v>6.5</v>
      </c>
      <c r="L13" t="s">
        <v>49</v>
      </c>
    </row>
    <row r="14" spans="1:12" x14ac:dyDescent="0.3">
      <c r="A14" t="s">
        <v>50</v>
      </c>
      <c r="B14" t="s">
        <v>51</v>
      </c>
      <c r="C14" t="s">
        <v>14</v>
      </c>
      <c r="D14" t="s">
        <v>15</v>
      </c>
      <c r="E14" t="s">
        <v>16</v>
      </c>
      <c r="F14" s="1">
        <v>100</v>
      </c>
      <c r="G14" s="1">
        <v>3200</v>
      </c>
      <c r="H14" s="1">
        <v>37</v>
      </c>
      <c r="I14" s="1">
        <v>140</v>
      </c>
      <c r="J14" s="1" t="s">
        <v>16</v>
      </c>
      <c r="K14" s="1" t="s">
        <v>16</v>
      </c>
      <c r="L14" t="s">
        <v>52</v>
      </c>
    </row>
    <row r="15" spans="1:12" x14ac:dyDescent="0.3">
      <c r="A15" t="s">
        <v>53</v>
      </c>
      <c r="B15" t="s">
        <v>51</v>
      </c>
      <c r="C15" t="s">
        <v>33</v>
      </c>
      <c r="D15" t="s">
        <v>15</v>
      </c>
      <c r="E15" t="s">
        <v>54</v>
      </c>
      <c r="F15" s="1">
        <v>110</v>
      </c>
      <c r="G15" s="1">
        <v>350</v>
      </c>
      <c r="H15" s="1" t="s">
        <v>16</v>
      </c>
      <c r="I15" s="1">
        <v>150</v>
      </c>
      <c r="J15" s="1">
        <v>140</v>
      </c>
      <c r="K15" s="1">
        <v>6.5</v>
      </c>
      <c r="L15" t="s">
        <v>48</v>
      </c>
    </row>
    <row r="16" spans="1:12" x14ac:dyDescent="0.3">
      <c r="A16" t="s">
        <v>55</v>
      </c>
      <c r="B16" t="s">
        <v>51</v>
      </c>
      <c r="C16" t="s">
        <v>14</v>
      </c>
      <c r="D16" t="s">
        <v>40</v>
      </c>
      <c r="E16" t="s">
        <v>16</v>
      </c>
      <c r="F16" s="1">
        <v>120</v>
      </c>
      <c r="G16" s="1">
        <v>2500</v>
      </c>
      <c r="H16" s="1">
        <v>35</v>
      </c>
      <c r="I16" s="1">
        <v>140</v>
      </c>
      <c r="J16" s="1" t="s">
        <v>16</v>
      </c>
      <c r="K16" s="1" t="s">
        <v>16</v>
      </c>
      <c r="L16" t="s">
        <v>31</v>
      </c>
    </row>
    <row r="17" spans="1:12" x14ac:dyDescent="0.3">
      <c r="A17" t="s">
        <v>56</v>
      </c>
      <c r="B17" t="s">
        <v>57</v>
      </c>
      <c r="C17" t="s">
        <v>38</v>
      </c>
      <c r="D17" t="s">
        <v>15</v>
      </c>
      <c r="E17" t="s">
        <v>16</v>
      </c>
      <c r="F17" s="1">
        <v>120</v>
      </c>
      <c r="G17" s="1">
        <v>4200</v>
      </c>
      <c r="H17" s="1">
        <v>45</v>
      </c>
      <c r="I17" s="1">
        <v>135</v>
      </c>
      <c r="J17" s="1" t="s">
        <v>16</v>
      </c>
      <c r="K17" s="1" t="s">
        <v>16</v>
      </c>
      <c r="L17" t="s">
        <v>19</v>
      </c>
    </row>
    <row r="18" spans="1:12" x14ac:dyDescent="0.3">
      <c r="A18" t="s">
        <v>58</v>
      </c>
      <c r="B18" t="s">
        <v>57</v>
      </c>
      <c r="C18" t="s">
        <v>38</v>
      </c>
      <c r="D18" t="s">
        <v>40</v>
      </c>
      <c r="E18" t="s">
        <v>16</v>
      </c>
      <c r="F18" s="1">
        <v>140</v>
      </c>
      <c r="G18" s="1">
        <v>3300</v>
      </c>
      <c r="H18" s="1">
        <v>32</v>
      </c>
      <c r="I18" s="1">
        <v>135</v>
      </c>
      <c r="J18" s="1" t="s">
        <v>16</v>
      </c>
      <c r="K18" s="1" t="s">
        <v>16</v>
      </c>
      <c r="L18" t="s">
        <v>59</v>
      </c>
    </row>
    <row r="19" spans="1:12" x14ac:dyDescent="0.3">
      <c r="A19" t="s">
        <v>60</v>
      </c>
      <c r="B19" t="s">
        <v>61</v>
      </c>
      <c r="C19" t="s">
        <v>38</v>
      </c>
      <c r="D19" t="s">
        <v>15</v>
      </c>
      <c r="E19" t="s">
        <v>16</v>
      </c>
      <c r="F19" s="1">
        <v>140</v>
      </c>
      <c r="G19" s="1">
        <v>3800</v>
      </c>
      <c r="H19" s="1">
        <v>30</v>
      </c>
      <c r="I19" s="1">
        <v>140</v>
      </c>
      <c r="J19" s="1" t="s">
        <v>16</v>
      </c>
      <c r="K19" s="1" t="s">
        <v>16</v>
      </c>
      <c r="L19" t="s">
        <v>62</v>
      </c>
    </row>
    <row r="20" spans="1:12" x14ac:dyDescent="0.3">
      <c r="A20" t="s">
        <v>63</v>
      </c>
      <c r="B20" t="s">
        <v>61</v>
      </c>
      <c r="C20" t="s">
        <v>14</v>
      </c>
      <c r="D20" t="s">
        <v>15</v>
      </c>
      <c r="E20" t="s">
        <v>16</v>
      </c>
      <c r="F20" s="1">
        <v>110</v>
      </c>
      <c r="G20" s="1">
        <v>3600</v>
      </c>
      <c r="H20" s="1">
        <v>39</v>
      </c>
      <c r="I20" s="1">
        <v>150</v>
      </c>
      <c r="J20" s="1" t="s">
        <v>16</v>
      </c>
      <c r="K20" s="1" t="s">
        <v>16</v>
      </c>
      <c r="L20" t="s">
        <v>23</v>
      </c>
    </row>
    <row r="21" spans="1:12" x14ac:dyDescent="0.3">
      <c r="A21" t="s">
        <v>64</v>
      </c>
      <c r="B21" t="s">
        <v>61</v>
      </c>
      <c r="C21" t="s">
        <v>33</v>
      </c>
      <c r="D21" t="s">
        <v>15</v>
      </c>
      <c r="E21" t="s">
        <v>54</v>
      </c>
      <c r="F21" s="1">
        <v>150</v>
      </c>
      <c r="G21" s="1" t="s">
        <v>16</v>
      </c>
      <c r="H21" s="1" t="s">
        <v>16</v>
      </c>
      <c r="I21" s="1" t="s">
        <v>16</v>
      </c>
      <c r="J21" s="1">
        <v>190</v>
      </c>
      <c r="K21" s="1">
        <v>7.8</v>
      </c>
      <c r="L21" t="s">
        <v>65</v>
      </c>
    </row>
    <row r="22" spans="1:12" x14ac:dyDescent="0.3">
      <c r="A22" t="s">
        <v>66</v>
      </c>
      <c r="B22" t="s">
        <v>67</v>
      </c>
      <c r="C22" t="s">
        <v>14</v>
      </c>
      <c r="D22" t="s">
        <v>40</v>
      </c>
      <c r="E22" t="s">
        <v>16</v>
      </c>
      <c r="F22" s="1">
        <v>180</v>
      </c>
      <c r="G22" s="1">
        <v>6500</v>
      </c>
      <c r="H22" s="1">
        <v>41</v>
      </c>
      <c r="I22" s="1">
        <v>139</v>
      </c>
      <c r="J22" s="1" t="s">
        <v>16</v>
      </c>
      <c r="K22" s="1" t="s">
        <v>16</v>
      </c>
      <c r="L22" t="s">
        <v>59</v>
      </c>
    </row>
    <row r="23" spans="1:12" x14ac:dyDescent="0.3">
      <c r="A23" t="s">
        <v>68</v>
      </c>
      <c r="B23" t="s">
        <v>67</v>
      </c>
      <c r="C23" t="s">
        <v>38</v>
      </c>
      <c r="D23" t="s">
        <v>40</v>
      </c>
      <c r="E23" t="s">
        <v>16</v>
      </c>
      <c r="F23" s="1">
        <v>100</v>
      </c>
      <c r="G23" s="1">
        <v>2800</v>
      </c>
      <c r="H23" s="1">
        <v>34</v>
      </c>
      <c r="I23" s="1">
        <v>150</v>
      </c>
      <c r="J23" s="1" t="s">
        <v>16</v>
      </c>
      <c r="K23" s="1" t="s">
        <v>16</v>
      </c>
      <c r="L23" t="s">
        <v>69</v>
      </c>
    </row>
    <row r="24" spans="1:12" x14ac:dyDescent="0.3">
      <c r="A24" t="s">
        <v>70</v>
      </c>
      <c r="B24" t="s">
        <v>67</v>
      </c>
      <c r="C24" t="s">
        <v>21</v>
      </c>
      <c r="D24" t="s">
        <v>40</v>
      </c>
      <c r="E24" t="s">
        <v>48</v>
      </c>
      <c r="F24" s="1">
        <v>130</v>
      </c>
      <c r="G24" s="1">
        <v>1400</v>
      </c>
      <c r="H24" s="1">
        <v>25</v>
      </c>
      <c r="I24" s="1">
        <v>130</v>
      </c>
      <c r="J24" s="1">
        <v>110</v>
      </c>
      <c r="K24" s="1">
        <v>7.2</v>
      </c>
      <c r="L24" t="s">
        <v>42</v>
      </c>
    </row>
    <row r="25" spans="1:12" x14ac:dyDescent="0.3">
      <c r="A25" t="s">
        <v>71</v>
      </c>
      <c r="B25" t="s">
        <v>72</v>
      </c>
      <c r="C25" t="s">
        <v>14</v>
      </c>
      <c r="D25" t="s">
        <v>15</v>
      </c>
      <c r="E25" t="s">
        <v>16</v>
      </c>
      <c r="F25" s="1">
        <v>90</v>
      </c>
      <c r="G25" s="1">
        <v>2100</v>
      </c>
      <c r="H25" s="1">
        <v>36</v>
      </c>
      <c r="I25" s="1">
        <v>125</v>
      </c>
      <c r="J25" s="1" t="s">
        <v>16</v>
      </c>
      <c r="K25" s="1" t="s">
        <v>16</v>
      </c>
      <c r="L25" t="s">
        <v>73</v>
      </c>
    </row>
    <row r="26" spans="1:12" x14ac:dyDescent="0.3">
      <c r="A26" t="s">
        <v>74</v>
      </c>
      <c r="B26" t="s">
        <v>72</v>
      </c>
      <c r="C26" t="s">
        <v>14</v>
      </c>
      <c r="D26" t="s">
        <v>15</v>
      </c>
      <c r="E26" t="s">
        <v>16</v>
      </c>
      <c r="F26" s="1">
        <v>60</v>
      </c>
      <c r="G26" s="1">
        <v>1400</v>
      </c>
      <c r="H26" s="1">
        <v>32</v>
      </c>
      <c r="I26" s="1">
        <v>135</v>
      </c>
      <c r="J26" s="1" t="s">
        <v>16</v>
      </c>
      <c r="K26" s="1" t="s">
        <v>16</v>
      </c>
      <c r="L26" t="s">
        <v>75</v>
      </c>
    </row>
    <row r="27" spans="1:12" x14ac:dyDescent="0.3">
      <c r="A27" t="s">
        <v>76</v>
      </c>
      <c r="B27" t="s">
        <v>72</v>
      </c>
      <c r="C27" t="s">
        <v>33</v>
      </c>
      <c r="D27" t="s">
        <v>15</v>
      </c>
      <c r="E27" t="s">
        <v>77</v>
      </c>
      <c r="F27" s="1">
        <v>160</v>
      </c>
      <c r="G27" s="1" t="s">
        <v>16</v>
      </c>
      <c r="H27" s="1" t="s">
        <v>16</v>
      </c>
      <c r="I27" s="1" t="s">
        <v>16</v>
      </c>
      <c r="J27" s="1">
        <v>170</v>
      </c>
      <c r="K27" s="1">
        <v>7.5</v>
      </c>
      <c r="L27" t="s">
        <v>77</v>
      </c>
    </row>
    <row r="28" spans="1:12" x14ac:dyDescent="0.3">
      <c r="A28" t="s">
        <v>78</v>
      </c>
      <c r="B28" t="s">
        <v>79</v>
      </c>
      <c r="C28" t="s">
        <v>14</v>
      </c>
      <c r="D28" t="s">
        <v>40</v>
      </c>
      <c r="E28" t="s">
        <v>16</v>
      </c>
      <c r="F28" s="1">
        <v>210</v>
      </c>
      <c r="G28" s="1">
        <v>6500</v>
      </c>
      <c r="H28" s="1">
        <v>35</v>
      </c>
      <c r="I28" s="1">
        <v>130</v>
      </c>
      <c r="J28" s="1" t="s">
        <v>16</v>
      </c>
      <c r="K28" s="1" t="s">
        <v>16</v>
      </c>
      <c r="L28" t="s">
        <v>19</v>
      </c>
    </row>
    <row r="29" spans="1:12" x14ac:dyDescent="0.3">
      <c r="A29" t="s">
        <v>80</v>
      </c>
      <c r="B29" t="s">
        <v>79</v>
      </c>
      <c r="C29" t="s">
        <v>21</v>
      </c>
      <c r="D29" t="s">
        <v>15</v>
      </c>
      <c r="E29" t="s">
        <v>48</v>
      </c>
      <c r="F29" s="1">
        <v>60</v>
      </c>
      <c r="G29" s="1">
        <v>1500</v>
      </c>
      <c r="H29" s="1">
        <v>28</v>
      </c>
      <c r="I29" s="1">
        <v>165</v>
      </c>
      <c r="J29" s="1">
        <v>20</v>
      </c>
      <c r="K29" s="1">
        <v>8.5</v>
      </c>
      <c r="L29" t="s">
        <v>81</v>
      </c>
    </row>
    <row r="30" spans="1:12" x14ac:dyDescent="0.3">
      <c r="A30" t="s">
        <v>82</v>
      </c>
      <c r="B30" t="s">
        <v>79</v>
      </c>
      <c r="C30" t="s">
        <v>33</v>
      </c>
      <c r="D30" t="s">
        <v>40</v>
      </c>
      <c r="E30" t="s">
        <v>34</v>
      </c>
      <c r="F30" s="1">
        <v>80</v>
      </c>
      <c r="G30" s="1" t="s">
        <v>16</v>
      </c>
      <c r="H30" s="1" t="s">
        <v>16</v>
      </c>
      <c r="I30" s="1" t="s">
        <v>16</v>
      </c>
      <c r="J30" s="1">
        <v>90</v>
      </c>
      <c r="K30" s="1">
        <v>8</v>
      </c>
      <c r="L30" t="s">
        <v>83</v>
      </c>
    </row>
    <row r="31" spans="1:12" x14ac:dyDescent="0.3">
      <c r="A31" t="s">
        <v>84</v>
      </c>
      <c r="B31" t="s">
        <v>61</v>
      </c>
      <c r="C31" t="s">
        <v>33</v>
      </c>
      <c r="D31" t="s">
        <v>40</v>
      </c>
      <c r="E31" t="s">
        <v>34</v>
      </c>
      <c r="F31" s="1">
        <v>100</v>
      </c>
      <c r="G31" s="1" t="s">
        <v>16</v>
      </c>
      <c r="H31" s="1" t="s">
        <v>16</v>
      </c>
      <c r="I31" s="1" t="s">
        <v>16</v>
      </c>
      <c r="J31" s="1">
        <v>120</v>
      </c>
      <c r="K31" s="1">
        <v>7.8</v>
      </c>
      <c r="L31" t="s">
        <v>77</v>
      </c>
    </row>
    <row r="32" spans="1:12" x14ac:dyDescent="0.3">
      <c r="A32" t="s">
        <v>85</v>
      </c>
      <c r="B32" t="s">
        <v>46</v>
      </c>
      <c r="C32" t="s">
        <v>33</v>
      </c>
      <c r="D32" t="s">
        <v>40</v>
      </c>
      <c r="E32" t="s">
        <v>34</v>
      </c>
      <c r="F32" s="1">
        <v>40</v>
      </c>
      <c r="G32" s="1" t="s">
        <v>16</v>
      </c>
      <c r="H32" s="1" t="s">
        <v>16</v>
      </c>
      <c r="I32" s="1" t="s">
        <v>16</v>
      </c>
      <c r="J32" s="1">
        <v>60</v>
      </c>
      <c r="K32" s="1">
        <v>7.5</v>
      </c>
      <c r="L32" t="s">
        <v>86</v>
      </c>
    </row>
    <row r="33" spans="1:12" x14ac:dyDescent="0.3">
      <c r="A33" t="s">
        <v>87</v>
      </c>
      <c r="B33" t="s">
        <v>72</v>
      </c>
      <c r="C33" t="s">
        <v>21</v>
      </c>
      <c r="D33" t="s">
        <v>15</v>
      </c>
      <c r="E33" t="s">
        <v>34</v>
      </c>
      <c r="F33" s="1">
        <v>50</v>
      </c>
      <c r="G33" s="1">
        <v>400</v>
      </c>
      <c r="H33" s="1">
        <v>20</v>
      </c>
      <c r="I33" s="1">
        <v>140</v>
      </c>
      <c r="J33" s="1">
        <v>60</v>
      </c>
      <c r="K33" s="1">
        <v>8.1999999999999993</v>
      </c>
      <c r="L33" t="s">
        <v>42</v>
      </c>
    </row>
    <row r="34" spans="1:12" x14ac:dyDescent="0.3">
      <c r="A34" t="s">
        <v>88</v>
      </c>
      <c r="B34" t="s">
        <v>37</v>
      </c>
      <c r="C34" t="s">
        <v>21</v>
      </c>
      <c r="D34" t="s">
        <v>40</v>
      </c>
      <c r="E34" t="s">
        <v>34</v>
      </c>
      <c r="F34" s="1">
        <v>50</v>
      </c>
      <c r="G34" s="1">
        <v>900</v>
      </c>
      <c r="H34" s="1">
        <v>25</v>
      </c>
      <c r="I34" s="1">
        <v>135</v>
      </c>
      <c r="J34" s="1">
        <v>30</v>
      </c>
      <c r="K34" s="1">
        <v>8.5</v>
      </c>
      <c r="L34" t="s">
        <v>89</v>
      </c>
    </row>
    <row r="35" spans="1:12" x14ac:dyDescent="0.3">
      <c r="A35" t="s">
        <v>90</v>
      </c>
      <c r="B35" t="s">
        <v>57</v>
      </c>
      <c r="C35" t="s">
        <v>38</v>
      </c>
      <c r="D35" t="s">
        <v>40</v>
      </c>
      <c r="E35" t="s">
        <v>16</v>
      </c>
      <c r="F35" s="1">
        <v>70</v>
      </c>
      <c r="G35" s="1">
        <v>1800</v>
      </c>
      <c r="H35" s="1">
        <v>30</v>
      </c>
      <c r="I35" s="1">
        <v>160</v>
      </c>
      <c r="J35" s="1" t="s">
        <v>16</v>
      </c>
      <c r="K35" s="1" t="s">
        <v>16</v>
      </c>
      <c r="L35" t="s">
        <v>91</v>
      </c>
    </row>
    <row r="36" spans="1:12" x14ac:dyDescent="0.3">
      <c r="A36" t="s">
        <v>92</v>
      </c>
      <c r="B36" t="s">
        <v>57</v>
      </c>
      <c r="C36" t="s">
        <v>21</v>
      </c>
      <c r="D36" t="s">
        <v>15</v>
      </c>
      <c r="E36" t="s">
        <v>93</v>
      </c>
      <c r="F36" s="1">
        <v>90</v>
      </c>
      <c r="G36" s="1">
        <v>2000</v>
      </c>
      <c r="H36" s="1">
        <v>28</v>
      </c>
      <c r="I36" s="1">
        <v>145</v>
      </c>
      <c r="J36" s="1">
        <v>40</v>
      </c>
      <c r="K36" s="1">
        <v>8.8000000000000007</v>
      </c>
      <c r="L36" t="s">
        <v>81</v>
      </c>
    </row>
    <row r="37" spans="1:12" x14ac:dyDescent="0.3">
      <c r="A37" t="s">
        <v>94</v>
      </c>
      <c r="B37" t="s">
        <v>37</v>
      </c>
      <c r="C37" t="s">
        <v>14</v>
      </c>
      <c r="D37" t="s">
        <v>40</v>
      </c>
      <c r="E37" t="s">
        <v>16</v>
      </c>
      <c r="F37" s="1">
        <v>70</v>
      </c>
      <c r="G37" s="1">
        <v>2200</v>
      </c>
      <c r="H37" s="1">
        <v>40</v>
      </c>
      <c r="I37" s="1">
        <v>135</v>
      </c>
      <c r="J37" s="1" t="s">
        <v>16</v>
      </c>
      <c r="K37" s="1" t="s">
        <v>16</v>
      </c>
      <c r="L37" t="s">
        <v>19</v>
      </c>
    </row>
    <row r="38" spans="1:12" x14ac:dyDescent="0.3">
      <c r="A38" t="s">
        <v>95</v>
      </c>
      <c r="B38" t="s">
        <v>13</v>
      </c>
      <c r="C38" t="s">
        <v>33</v>
      </c>
      <c r="D38" t="s">
        <v>15</v>
      </c>
      <c r="E38" t="s">
        <v>34</v>
      </c>
      <c r="F38" s="1">
        <v>90</v>
      </c>
      <c r="G38" s="1" t="s">
        <v>16</v>
      </c>
      <c r="H38" s="1" t="s">
        <v>16</v>
      </c>
      <c r="I38" s="1" t="s">
        <v>16</v>
      </c>
      <c r="J38" s="1">
        <v>100</v>
      </c>
      <c r="K38" s="1">
        <v>7.8</v>
      </c>
      <c r="L38" t="s">
        <v>86</v>
      </c>
    </row>
    <row r="39" spans="1:12" x14ac:dyDescent="0.3">
      <c r="A39" t="s">
        <v>96</v>
      </c>
      <c r="B39" t="s">
        <v>67</v>
      </c>
      <c r="C39" t="s">
        <v>33</v>
      </c>
      <c r="D39" t="s">
        <v>40</v>
      </c>
      <c r="E39" t="s">
        <v>48</v>
      </c>
      <c r="F39" s="1">
        <v>80</v>
      </c>
      <c r="G39" s="1" t="s">
        <v>16</v>
      </c>
      <c r="H39" s="1" t="s">
        <v>16</v>
      </c>
      <c r="I39" s="1" t="s">
        <v>16</v>
      </c>
      <c r="J39" s="1">
        <v>90</v>
      </c>
      <c r="K39" s="1">
        <v>7.5</v>
      </c>
      <c r="L39" t="s">
        <v>48</v>
      </c>
    </row>
    <row r="40" spans="1:12" x14ac:dyDescent="0.3">
      <c r="A40" t="s">
        <v>97</v>
      </c>
      <c r="B40" t="s">
        <v>72</v>
      </c>
      <c r="C40" t="s">
        <v>14</v>
      </c>
      <c r="D40" t="s">
        <v>15</v>
      </c>
      <c r="E40" t="s">
        <v>16</v>
      </c>
      <c r="F40" s="1">
        <v>80</v>
      </c>
      <c r="G40" s="1">
        <v>2000</v>
      </c>
      <c r="H40" s="1">
        <v>28</v>
      </c>
      <c r="I40" s="1">
        <v>140</v>
      </c>
      <c r="J40" s="1" t="s">
        <v>16</v>
      </c>
      <c r="K40" s="1" t="s">
        <v>16</v>
      </c>
      <c r="L40" t="s">
        <v>59</v>
      </c>
    </row>
    <row r="41" spans="1:12" x14ac:dyDescent="0.3">
      <c r="A41" t="s">
        <v>98</v>
      </c>
      <c r="B41" t="s">
        <v>72</v>
      </c>
      <c r="C41" t="s">
        <v>21</v>
      </c>
      <c r="D41" t="s">
        <v>40</v>
      </c>
      <c r="E41" t="s">
        <v>48</v>
      </c>
      <c r="F41" s="1">
        <v>60</v>
      </c>
      <c r="G41" s="1">
        <v>1400</v>
      </c>
      <c r="H41" s="1">
        <v>27</v>
      </c>
      <c r="I41" s="1">
        <v>140</v>
      </c>
      <c r="J41" s="1">
        <v>20</v>
      </c>
      <c r="K41" s="1">
        <v>8</v>
      </c>
      <c r="L41" t="s">
        <v>42</v>
      </c>
    </row>
    <row r="42" spans="1:12" x14ac:dyDescent="0.3">
      <c r="A42" t="s">
        <v>99</v>
      </c>
      <c r="B42" t="s">
        <v>67</v>
      </c>
      <c r="C42" t="s">
        <v>14</v>
      </c>
      <c r="D42" t="s">
        <v>15</v>
      </c>
      <c r="E42" t="s">
        <v>16</v>
      </c>
      <c r="F42" s="1">
        <v>70</v>
      </c>
      <c r="G42" s="1">
        <v>1800</v>
      </c>
      <c r="H42" s="1">
        <v>25</v>
      </c>
      <c r="I42" s="1">
        <v>150</v>
      </c>
      <c r="J42" s="1" t="s">
        <v>16</v>
      </c>
      <c r="K42" s="1" t="s">
        <v>16</v>
      </c>
      <c r="L42" t="s">
        <v>59</v>
      </c>
    </row>
    <row r="43" spans="1:12" x14ac:dyDescent="0.3">
      <c r="A43" t="s">
        <v>100</v>
      </c>
      <c r="B43" t="s">
        <v>25</v>
      </c>
      <c r="C43" t="s">
        <v>38</v>
      </c>
      <c r="D43" t="s">
        <v>40</v>
      </c>
      <c r="E43" t="s">
        <v>16</v>
      </c>
      <c r="F43" s="1">
        <v>90</v>
      </c>
      <c r="G43" s="1">
        <v>2200</v>
      </c>
      <c r="H43" s="1">
        <v>28</v>
      </c>
      <c r="I43" s="1">
        <v>145</v>
      </c>
      <c r="J43" s="1" t="s">
        <v>16</v>
      </c>
      <c r="K43" s="1" t="s">
        <v>16</v>
      </c>
      <c r="L43" t="s">
        <v>69</v>
      </c>
    </row>
    <row r="44" spans="1:12" x14ac:dyDescent="0.3">
      <c r="A44" t="s">
        <v>101</v>
      </c>
      <c r="B44" t="s">
        <v>37</v>
      </c>
      <c r="C44" t="s">
        <v>33</v>
      </c>
      <c r="D44" t="s">
        <v>15</v>
      </c>
      <c r="E44" t="s">
        <v>77</v>
      </c>
      <c r="F44" s="1">
        <v>80</v>
      </c>
      <c r="G44" s="1" t="s">
        <v>16</v>
      </c>
      <c r="H44" s="1" t="s">
        <v>16</v>
      </c>
      <c r="I44" s="1" t="s">
        <v>16</v>
      </c>
      <c r="J44" s="1">
        <v>90</v>
      </c>
      <c r="K44" s="1">
        <v>7.5</v>
      </c>
      <c r="L44" t="s">
        <v>77</v>
      </c>
    </row>
    <row r="45" spans="1:12" x14ac:dyDescent="0.3">
      <c r="A45" t="s">
        <v>102</v>
      </c>
      <c r="B45" t="s">
        <v>61</v>
      </c>
      <c r="C45" t="s">
        <v>21</v>
      </c>
      <c r="D45" t="s">
        <v>15</v>
      </c>
      <c r="E45" t="s">
        <v>48</v>
      </c>
      <c r="F45" s="1">
        <v>200</v>
      </c>
      <c r="G45" s="1">
        <v>700</v>
      </c>
      <c r="H45" s="1">
        <v>15</v>
      </c>
      <c r="I45" s="1">
        <v>120</v>
      </c>
      <c r="J45" s="1">
        <v>170</v>
      </c>
      <c r="K45" s="1">
        <v>7</v>
      </c>
      <c r="L45" t="s">
        <v>48</v>
      </c>
    </row>
    <row r="46" spans="1:12" x14ac:dyDescent="0.3">
      <c r="A46" t="s">
        <v>103</v>
      </c>
      <c r="B46" t="s">
        <v>72</v>
      </c>
      <c r="C46" t="s">
        <v>21</v>
      </c>
      <c r="D46" t="s">
        <v>40</v>
      </c>
      <c r="E46" t="s">
        <v>48</v>
      </c>
      <c r="F46" s="1">
        <v>60</v>
      </c>
      <c r="G46" s="1">
        <v>800</v>
      </c>
      <c r="H46" s="1">
        <v>20</v>
      </c>
      <c r="I46" s="1">
        <v>130</v>
      </c>
      <c r="J46" s="1">
        <v>40</v>
      </c>
      <c r="K46" s="1">
        <v>7.2</v>
      </c>
      <c r="L46" t="s">
        <v>104</v>
      </c>
    </row>
    <row r="47" spans="1:12" x14ac:dyDescent="0.3">
      <c r="A47" t="s">
        <v>105</v>
      </c>
      <c r="B47" t="s">
        <v>13</v>
      </c>
      <c r="C47" t="s">
        <v>38</v>
      </c>
      <c r="D47" t="s">
        <v>15</v>
      </c>
      <c r="E47" t="s">
        <v>16</v>
      </c>
      <c r="F47" s="1">
        <v>200</v>
      </c>
      <c r="G47" s="1">
        <v>4500</v>
      </c>
      <c r="H47" s="1">
        <v>26</v>
      </c>
      <c r="I47" s="1">
        <v>135</v>
      </c>
      <c r="J47" s="1" t="s">
        <v>16</v>
      </c>
      <c r="K47" s="1" t="s">
        <v>16</v>
      </c>
      <c r="L47" t="s">
        <v>31</v>
      </c>
    </row>
    <row r="48" spans="1:12" x14ac:dyDescent="0.3">
      <c r="A48" t="s">
        <v>106</v>
      </c>
      <c r="B48" t="s">
        <v>61</v>
      </c>
      <c r="C48" t="s">
        <v>14</v>
      </c>
      <c r="D48" t="s">
        <v>40</v>
      </c>
      <c r="E48" t="s">
        <v>16</v>
      </c>
      <c r="F48" s="1">
        <v>60</v>
      </c>
      <c r="G48" s="1">
        <v>1500</v>
      </c>
      <c r="H48" s="1">
        <v>32</v>
      </c>
      <c r="I48" s="1">
        <v>155</v>
      </c>
      <c r="J48" s="1" t="s">
        <v>16</v>
      </c>
      <c r="K48" s="1" t="s">
        <v>16</v>
      </c>
      <c r="L48" t="s">
        <v>91</v>
      </c>
    </row>
    <row r="49" spans="1:12" x14ac:dyDescent="0.3">
      <c r="A49" t="s">
        <v>107</v>
      </c>
      <c r="B49" t="s">
        <v>61</v>
      </c>
      <c r="C49" t="s">
        <v>21</v>
      </c>
      <c r="D49" t="s">
        <v>15</v>
      </c>
      <c r="E49" t="s">
        <v>34</v>
      </c>
      <c r="F49" s="1">
        <v>50</v>
      </c>
      <c r="G49" s="1">
        <v>500</v>
      </c>
      <c r="H49" s="1">
        <v>18</v>
      </c>
      <c r="I49" s="1">
        <v>130</v>
      </c>
      <c r="J49" s="1">
        <v>50</v>
      </c>
      <c r="K49" s="1">
        <v>8.1999999999999993</v>
      </c>
      <c r="L49" t="s">
        <v>42</v>
      </c>
    </row>
    <row r="50" spans="1:12" x14ac:dyDescent="0.3">
      <c r="A50" t="s">
        <v>108</v>
      </c>
      <c r="B50" t="s">
        <v>72</v>
      </c>
      <c r="C50" t="s">
        <v>14</v>
      </c>
      <c r="D50" t="s">
        <v>15</v>
      </c>
      <c r="E50" t="s">
        <v>16</v>
      </c>
      <c r="F50" s="1">
        <v>120</v>
      </c>
      <c r="G50" s="1">
        <v>2600</v>
      </c>
      <c r="H50" s="1">
        <v>23</v>
      </c>
      <c r="I50" s="1">
        <v>135</v>
      </c>
      <c r="J50" s="1" t="s">
        <v>16</v>
      </c>
      <c r="K50" s="1" t="s">
        <v>16</v>
      </c>
      <c r="L50" t="s">
        <v>109</v>
      </c>
    </row>
    <row r="53" spans="1:12" x14ac:dyDescent="0.3">
      <c r="A53" t="s">
        <v>126</v>
      </c>
      <c r="B53" t="s">
        <v>127</v>
      </c>
      <c r="C53" t="s">
        <v>128</v>
      </c>
      <c r="D53" t="s">
        <v>129</v>
      </c>
      <c r="E53" t="s">
        <v>130</v>
      </c>
      <c r="F53" s="1" t="s">
        <v>131</v>
      </c>
      <c r="G53" s="1" t="s">
        <v>153</v>
      </c>
      <c r="H53" s="1" t="s">
        <v>132</v>
      </c>
      <c r="I53" s="1" t="s">
        <v>133</v>
      </c>
      <c r="J53" s="1" t="s">
        <v>134</v>
      </c>
      <c r="L53" s="1"/>
    </row>
    <row r="54" spans="1:12" x14ac:dyDescent="0.3">
      <c r="A54" s="5" t="s">
        <v>12</v>
      </c>
      <c r="B54" s="6" t="s">
        <v>13</v>
      </c>
      <c r="C54" s="6" t="s">
        <v>14</v>
      </c>
      <c r="D54" s="6" t="s">
        <v>15</v>
      </c>
      <c r="E54" s="18">
        <v>240</v>
      </c>
      <c r="F54" s="18">
        <v>7263</v>
      </c>
      <c r="G54" s="18">
        <f>_xlfn.RANK.EQ(Table2[[#This Row],[runs]],Table2[runs]) + COUNTIF(INDEX(Table2[runs],1):Table2[[#This Row],[runs]],Table2[[#This Row],[runs]]) - 1</f>
        <v>1</v>
      </c>
      <c r="H54" s="18">
        <v>37.5</v>
      </c>
      <c r="I54" s="18">
        <v>130</v>
      </c>
      <c r="J54" s="7" t="s">
        <v>17</v>
      </c>
      <c r="K54"/>
      <c r="L54" s="1"/>
    </row>
    <row r="55" spans="1:12" x14ac:dyDescent="0.3">
      <c r="A55" s="5" t="s">
        <v>66</v>
      </c>
      <c r="B55" s="6" t="s">
        <v>67</v>
      </c>
      <c r="C55" s="6" t="s">
        <v>14</v>
      </c>
      <c r="D55" s="6" t="s">
        <v>40</v>
      </c>
      <c r="E55" s="18">
        <v>180</v>
      </c>
      <c r="F55" s="18">
        <v>6500</v>
      </c>
      <c r="G55" s="18">
        <f>_xlfn.RANK.EQ(Table2[[#This Row],[runs]],Table2[runs]) + COUNTIF(INDEX(Table2[runs],1):Table2[[#This Row],[runs]],Table2[[#This Row],[runs]]) - 1</f>
        <v>2</v>
      </c>
      <c r="H55" s="18">
        <v>41</v>
      </c>
      <c r="I55" s="18">
        <v>139</v>
      </c>
      <c r="J55" s="7" t="s">
        <v>59</v>
      </c>
      <c r="K55"/>
      <c r="L55" s="1"/>
    </row>
    <row r="56" spans="1:12" x14ac:dyDescent="0.3">
      <c r="A56" s="5" t="s">
        <v>78</v>
      </c>
      <c r="B56" s="6" t="s">
        <v>79</v>
      </c>
      <c r="C56" s="6" t="s">
        <v>14</v>
      </c>
      <c r="D56" s="6" t="s">
        <v>40</v>
      </c>
      <c r="E56" s="18">
        <v>210</v>
      </c>
      <c r="F56" s="18">
        <v>6500</v>
      </c>
      <c r="G56" s="18">
        <f>_xlfn.RANK.EQ(Table2[[#This Row],[runs]],Table2[runs]) + COUNTIF(INDEX(Table2[runs],1):Table2[[#This Row],[runs]],Table2[[#This Row],[runs]]) - 1</f>
        <v>3</v>
      </c>
      <c r="H56" s="18">
        <v>35</v>
      </c>
      <c r="I56" s="18">
        <v>130</v>
      </c>
      <c r="J56" s="7" t="s">
        <v>19</v>
      </c>
      <c r="K56"/>
      <c r="L56" s="1"/>
    </row>
    <row r="57" spans="1:12" x14ac:dyDescent="0.3">
      <c r="A57" s="5" t="s">
        <v>24</v>
      </c>
      <c r="B57" s="6" t="s">
        <v>25</v>
      </c>
      <c r="C57" s="6" t="s">
        <v>14</v>
      </c>
      <c r="D57" s="6" t="s">
        <v>15</v>
      </c>
      <c r="E57" s="18">
        <v>240</v>
      </c>
      <c r="F57" s="18">
        <v>6200</v>
      </c>
      <c r="G57" s="18">
        <f>_xlfn.RANK.EQ(Table2[[#This Row],[runs]],Table2[runs]) + COUNTIF(INDEX(Table2[runs],1):Table2[[#This Row],[runs]],Table2[[#This Row],[runs]]) - 1</f>
        <v>4</v>
      </c>
      <c r="H57" s="18">
        <v>29</v>
      </c>
      <c r="I57" s="18">
        <v>131</v>
      </c>
      <c r="J57" s="7" t="s">
        <v>26</v>
      </c>
      <c r="K57"/>
      <c r="L57" s="1"/>
    </row>
    <row r="58" spans="1:12" x14ac:dyDescent="0.3">
      <c r="A58" s="5" t="s">
        <v>36</v>
      </c>
      <c r="B58" s="6" t="s">
        <v>37</v>
      </c>
      <c r="C58" s="6" t="s">
        <v>38</v>
      </c>
      <c r="D58" s="6" t="s">
        <v>15</v>
      </c>
      <c r="E58" s="18">
        <v>250</v>
      </c>
      <c r="F58" s="18">
        <v>5082</v>
      </c>
      <c r="G58" s="18">
        <f>_xlfn.RANK.EQ(Table2[[#This Row],[runs]],Table2[runs]) + COUNTIF(INDEX(Table2[runs],1):Table2[[#This Row],[runs]],Table2[[#This Row],[runs]]) - 1</f>
        <v>5</v>
      </c>
      <c r="H58" s="18">
        <v>39</v>
      </c>
      <c r="I58" s="18">
        <v>135</v>
      </c>
      <c r="J58" s="7" t="s">
        <v>31</v>
      </c>
      <c r="K58"/>
      <c r="L58" s="1"/>
    </row>
    <row r="59" spans="1:12" x14ac:dyDescent="0.3">
      <c r="A59" s="5" t="s">
        <v>105</v>
      </c>
      <c r="B59" s="6" t="s">
        <v>13</v>
      </c>
      <c r="C59" s="6" t="s">
        <v>38</v>
      </c>
      <c r="D59" s="6" t="s">
        <v>15</v>
      </c>
      <c r="E59" s="18">
        <v>200</v>
      </c>
      <c r="F59" s="18">
        <v>4500</v>
      </c>
      <c r="G59" s="18">
        <f>_xlfn.RANK.EQ(Table2[[#This Row],[runs]],Table2[runs]) + COUNTIF(INDEX(Table2[runs],1):Table2[[#This Row],[runs]],Table2[[#This Row],[runs]]) - 1</f>
        <v>6</v>
      </c>
      <c r="H59" s="18">
        <v>26</v>
      </c>
      <c r="I59" s="18">
        <v>135</v>
      </c>
      <c r="J59" s="7" t="s">
        <v>31</v>
      </c>
      <c r="K59"/>
      <c r="L59" s="1"/>
    </row>
    <row r="60" spans="1:12" x14ac:dyDescent="0.3">
      <c r="A60" s="5" t="s">
        <v>56</v>
      </c>
      <c r="B60" s="6" t="s">
        <v>57</v>
      </c>
      <c r="C60" s="6" t="s">
        <v>38</v>
      </c>
      <c r="D60" s="6" t="s">
        <v>15</v>
      </c>
      <c r="E60" s="18">
        <v>120</v>
      </c>
      <c r="F60" s="18">
        <v>4200</v>
      </c>
      <c r="G60" s="18">
        <f>_xlfn.RANK.EQ(Table2[[#This Row],[runs]],Table2[runs]) + COUNTIF(INDEX(Table2[runs],1):Table2[[#This Row],[runs]],Table2[[#This Row],[runs]]) - 1</f>
        <v>7</v>
      </c>
      <c r="H60" s="18">
        <v>45</v>
      </c>
      <c r="I60" s="18">
        <v>135</v>
      </c>
      <c r="J60" s="7" t="s">
        <v>19</v>
      </c>
      <c r="K60"/>
      <c r="L60" s="1"/>
    </row>
    <row r="61" spans="1:12" x14ac:dyDescent="0.3">
      <c r="A61" s="8" t="s">
        <v>18</v>
      </c>
      <c r="B61" s="9" t="s">
        <v>13</v>
      </c>
      <c r="C61" s="9" t="s">
        <v>14</v>
      </c>
      <c r="D61" s="9" t="s">
        <v>15</v>
      </c>
      <c r="E61" s="19">
        <v>130</v>
      </c>
      <c r="F61" s="19">
        <v>4000</v>
      </c>
      <c r="G61" s="19">
        <f>_xlfn.RANK.EQ(Table2[[#This Row],[runs]],Table2[runs]) + COUNTIF(INDEX(Table2[runs],1):Table2[[#This Row],[runs]],Table2[[#This Row],[runs]]) - 1</f>
        <v>8</v>
      </c>
      <c r="H61" s="19">
        <v>35</v>
      </c>
      <c r="I61" s="19">
        <v>135</v>
      </c>
      <c r="J61" s="10" t="s">
        <v>19</v>
      </c>
      <c r="K61"/>
      <c r="L61" s="1"/>
    </row>
    <row r="62" spans="1:12" x14ac:dyDescent="0.3">
      <c r="A62" s="5" t="s">
        <v>60</v>
      </c>
      <c r="B62" s="6" t="s">
        <v>61</v>
      </c>
      <c r="C62" s="6" t="s">
        <v>38</v>
      </c>
      <c r="D62" s="6" t="s">
        <v>15</v>
      </c>
      <c r="E62" s="18">
        <v>140</v>
      </c>
      <c r="F62" s="18">
        <v>3800</v>
      </c>
      <c r="G62" s="18">
        <f>_xlfn.RANK.EQ(Table2[[#This Row],[runs]],Table2[runs]) + COUNTIF(INDEX(Table2[runs],1):Table2[[#This Row],[runs]],Table2[[#This Row],[runs]]) - 1</f>
        <v>9</v>
      </c>
      <c r="H62" s="18">
        <v>30</v>
      </c>
      <c r="I62" s="18">
        <v>140</v>
      </c>
      <c r="J62" s="7" t="s">
        <v>62</v>
      </c>
      <c r="K62"/>
      <c r="L62" s="1"/>
    </row>
    <row r="63" spans="1:12" x14ac:dyDescent="0.3">
      <c r="A63" s="8" t="s">
        <v>63</v>
      </c>
      <c r="B63" s="9" t="s">
        <v>61</v>
      </c>
      <c r="C63" s="9" t="s">
        <v>14</v>
      </c>
      <c r="D63" s="9" t="s">
        <v>15</v>
      </c>
      <c r="E63" s="19">
        <v>110</v>
      </c>
      <c r="F63" s="19">
        <v>3600</v>
      </c>
      <c r="G63" s="19">
        <f>_xlfn.RANK.EQ(Table2[[#This Row],[runs]],Table2[runs]) + COUNTIF(INDEX(Table2[runs],1):Table2[[#This Row],[runs]],Table2[[#This Row],[runs]]) - 1</f>
        <v>10</v>
      </c>
      <c r="H63" s="19">
        <v>39</v>
      </c>
      <c r="I63" s="19">
        <v>150</v>
      </c>
      <c r="J63" s="10" t="s">
        <v>23</v>
      </c>
      <c r="K63"/>
      <c r="L63" s="1"/>
    </row>
    <row r="64" spans="1:12" x14ac:dyDescent="0.3">
      <c r="A64" s="8" t="s">
        <v>58</v>
      </c>
      <c r="B64" s="9" t="s">
        <v>57</v>
      </c>
      <c r="C64" s="9" t="s">
        <v>38</v>
      </c>
      <c r="D64" s="9" t="s">
        <v>40</v>
      </c>
      <c r="E64" s="19">
        <v>140</v>
      </c>
      <c r="F64" s="19">
        <v>3300</v>
      </c>
      <c r="G64" s="19">
        <f>_xlfn.RANK.EQ(Table2[[#This Row],[runs]],Table2[runs]) + COUNTIF(INDEX(Table2[runs],1):Table2[[#This Row],[runs]],Table2[[#This Row],[runs]]) - 1</f>
        <v>11</v>
      </c>
      <c r="H64" s="19">
        <v>32</v>
      </c>
      <c r="I64" s="19">
        <v>135</v>
      </c>
      <c r="J64" s="10" t="s">
        <v>59</v>
      </c>
      <c r="K64"/>
      <c r="L64" s="1"/>
    </row>
    <row r="65" spans="1:12" x14ac:dyDescent="0.3">
      <c r="A65" s="8" t="s">
        <v>27</v>
      </c>
      <c r="B65" s="9" t="s">
        <v>25</v>
      </c>
      <c r="C65" s="9" t="s">
        <v>14</v>
      </c>
      <c r="D65" s="9" t="s">
        <v>15</v>
      </c>
      <c r="E65" s="19">
        <v>140</v>
      </c>
      <c r="F65" s="19">
        <v>3200</v>
      </c>
      <c r="G65" s="19">
        <f>_xlfn.RANK.EQ(Table2[[#This Row],[runs]],Table2[runs]) + COUNTIF(INDEX(Table2[runs],1):Table2[[#This Row],[runs]],Table2[[#This Row],[runs]]) - 1</f>
        <v>12</v>
      </c>
      <c r="H65" s="19">
        <v>33</v>
      </c>
      <c r="I65" s="19">
        <v>145</v>
      </c>
      <c r="J65" s="10" t="s">
        <v>28</v>
      </c>
      <c r="K65"/>
      <c r="L65" s="1"/>
    </row>
    <row r="66" spans="1:12" x14ac:dyDescent="0.3">
      <c r="A66" s="5" t="s">
        <v>50</v>
      </c>
      <c r="B66" s="6" t="s">
        <v>51</v>
      </c>
      <c r="C66" s="6" t="s">
        <v>14</v>
      </c>
      <c r="D66" s="6" t="s">
        <v>15</v>
      </c>
      <c r="E66" s="18">
        <v>100</v>
      </c>
      <c r="F66" s="18">
        <v>3200</v>
      </c>
      <c r="G66" s="18">
        <f>_xlfn.RANK.EQ(Table2[[#This Row],[runs]],Table2[runs]) + COUNTIF(INDEX(Table2[runs],1):Table2[[#This Row],[runs]],Table2[[#This Row],[runs]]) - 1</f>
        <v>13</v>
      </c>
      <c r="H66" s="18">
        <v>37</v>
      </c>
      <c r="I66" s="18">
        <v>140</v>
      </c>
      <c r="J66" s="7" t="s">
        <v>52</v>
      </c>
      <c r="K66"/>
      <c r="L66" s="1"/>
    </row>
    <row r="67" spans="1:12" x14ac:dyDescent="0.3">
      <c r="A67" s="8" t="s">
        <v>43</v>
      </c>
      <c r="B67" s="9" t="s">
        <v>37</v>
      </c>
      <c r="C67" s="9" t="s">
        <v>14</v>
      </c>
      <c r="D67" s="9" t="s">
        <v>15</v>
      </c>
      <c r="E67" s="19">
        <v>90</v>
      </c>
      <c r="F67" s="19">
        <v>2800</v>
      </c>
      <c r="G67" s="19">
        <f>_xlfn.RANK.EQ(Table2[[#This Row],[runs]],Table2[runs]) + COUNTIF(INDEX(Table2[runs],1):Table2[[#This Row],[runs]],Table2[[#This Row],[runs]]) - 1</f>
        <v>14</v>
      </c>
      <c r="H67" s="19">
        <v>38</v>
      </c>
      <c r="I67" s="19">
        <v>135</v>
      </c>
      <c r="J67" s="10" t="s">
        <v>44</v>
      </c>
      <c r="K67"/>
      <c r="L67" s="1"/>
    </row>
    <row r="68" spans="1:12" x14ac:dyDescent="0.3">
      <c r="A68" s="8" t="s">
        <v>68</v>
      </c>
      <c r="B68" s="9" t="s">
        <v>67</v>
      </c>
      <c r="C68" s="9" t="s">
        <v>38</v>
      </c>
      <c r="D68" s="9" t="s">
        <v>40</v>
      </c>
      <c r="E68" s="19">
        <v>100</v>
      </c>
      <c r="F68" s="19">
        <v>2800</v>
      </c>
      <c r="G68" s="19">
        <f>_xlfn.RANK.EQ(Table2[[#This Row],[runs]],Table2[runs]) + COUNTIF(INDEX(Table2[runs],1):Table2[[#This Row],[runs]],Table2[[#This Row],[runs]]) - 1</f>
        <v>15</v>
      </c>
      <c r="H68" s="19">
        <v>34</v>
      </c>
      <c r="I68" s="19">
        <v>150</v>
      </c>
      <c r="J68" s="10" t="s">
        <v>69</v>
      </c>
      <c r="K68"/>
      <c r="L68" s="1"/>
    </row>
    <row r="69" spans="1:12" x14ac:dyDescent="0.3">
      <c r="A69" s="5" t="s">
        <v>108</v>
      </c>
      <c r="B69" s="6" t="s">
        <v>72</v>
      </c>
      <c r="C69" s="6" t="s">
        <v>14</v>
      </c>
      <c r="D69" s="6" t="s">
        <v>15</v>
      </c>
      <c r="E69" s="18">
        <v>120</v>
      </c>
      <c r="F69" s="18">
        <v>2600</v>
      </c>
      <c r="G69" s="18">
        <f>_xlfn.RANK.EQ(Table2[[#This Row],[runs]],Table2[runs]) + COUNTIF(INDEX(Table2[runs],1):Table2[[#This Row],[runs]],Table2[[#This Row],[runs]]) - 1</f>
        <v>16</v>
      </c>
      <c r="H69" s="18">
        <v>23</v>
      </c>
      <c r="I69" s="18">
        <v>135</v>
      </c>
      <c r="J69" s="7" t="s">
        <v>109</v>
      </c>
      <c r="K69"/>
      <c r="L69" s="1"/>
    </row>
    <row r="70" spans="1:12" x14ac:dyDescent="0.3">
      <c r="A70" s="8" t="s">
        <v>55</v>
      </c>
      <c r="B70" s="9" t="s">
        <v>51</v>
      </c>
      <c r="C70" s="9" t="s">
        <v>14</v>
      </c>
      <c r="D70" s="9" t="s">
        <v>40</v>
      </c>
      <c r="E70" s="19">
        <v>120</v>
      </c>
      <c r="F70" s="19">
        <v>2500</v>
      </c>
      <c r="G70" s="19">
        <f>_xlfn.RANK.EQ(Table2[[#This Row],[runs]],Table2[runs]) + COUNTIF(INDEX(Table2[runs],1):Table2[[#This Row],[runs]],Table2[[#This Row],[runs]]) - 1</f>
        <v>17</v>
      </c>
      <c r="H70" s="19">
        <v>35</v>
      </c>
      <c r="I70" s="19">
        <v>140</v>
      </c>
      <c r="J70" s="10" t="s">
        <v>31</v>
      </c>
      <c r="K70"/>
      <c r="L70" s="1"/>
    </row>
    <row r="71" spans="1:12" x14ac:dyDescent="0.3">
      <c r="A71" s="5" t="s">
        <v>94</v>
      </c>
      <c r="B71" s="6" t="s">
        <v>37</v>
      </c>
      <c r="C71" s="6" t="s">
        <v>14</v>
      </c>
      <c r="D71" s="6" t="s">
        <v>40</v>
      </c>
      <c r="E71" s="18">
        <v>70</v>
      </c>
      <c r="F71" s="18">
        <v>2200</v>
      </c>
      <c r="G71" s="18">
        <f>_xlfn.RANK.EQ(Table2[[#This Row],[runs]],Table2[runs]) + COUNTIF(INDEX(Table2[runs],1):Table2[[#This Row],[runs]],Table2[[#This Row],[runs]]) - 1</f>
        <v>18</v>
      </c>
      <c r="H71" s="18">
        <v>40</v>
      </c>
      <c r="I71" s="18">
        <v>135</v>
      </c>
      <c r="J71" s="7" t="s">
        <v>19</v>
      </c>
      <c r="K71"/>
      <c r="L71" s="1"/>
    </row>
    <row r="72" spans="1:12" x14ac:dyDescent="0.3">
      <c r="A72" s="8" t="s">
        <v>100</v>
      </c>
      <c r="B72" s="9" t="s">
        <v>25</v>
      </c>
      <c r="C72" s="9" t="s">
        <v>38</v>
      </c>
      <c r="D72" s="9" t="s">
        <v>40</v>
      </c>
      <c r="E72" s="19">
        <v>90</v>
      </c>
      <c r="F72" s="19">
        <v>2200</v>
      </c>
      <c r="G72" s="19">
        <f>_xlfn.RANK.EQ(Table2[[#This Row],[runs]],Table2[runs]) + COUNTIF(INDEX(Table2[runs],1):Table2[[#This Row],[runs]],Table2[[#This Row],[runs]]) - 1</f>
        <v>19</v>
      </c>
      <c r="H72" s="19">
        <v>28</v>
      </c>
      <c r="I72" s="19">
        <v>145</v>
      </c>
      <c r="J72" s="10" t="s">
        <v>69</v>
      </c>
      <c r="K72"/>
      <c r="L72" s="1"/>
    </row>
    <row r="73" spans="1:12" x14ac:dyDescent="0.3">
      <c r="A73" s="5" t="s">
        <v>71</v>
      </c>
      <c r="B73" s="6" t="s">
        <v>72</v>
      </c>
      <c r="C73" s="6" t="s">
        <v>14</v>
      </c>
      <c r="D73" s="6" t="s">
        <v>15</v>
      </c>
      <c r="E73" s="18">
        <v>90</v>
      </c>
      <c r="F73" s="18">
        <v>2100</v>
      </c>
      <c r="G73" s="18">
        <f>_xlfn.RANK.EQ(Table2[[#This Row],[runs]],Table2[runs]) + COUNTIF(INDEX(Table2[runs],1):Table2[[#This Row],[runs]],Table2[[#This Row],[runs]]) - 1</f>
        <v>20</v>
      </c>
      <c r="H73" s="18">
        <v>36</v>
      </c>
      <c r="I73" s="18">
        <v>125</v>
      </c>
      <c r="J73" s="7" t="s">
        <v>73</v>
      </c>
      <c r="K73"/>
      <c r="L73" s="1"/>
    </row>
    <row r="74" spans="1:12" x14ac:dyDescent="0.3">
      <c r="A74" s="8" t="s">
        <v>97</v>
      </c>
      <c r="B74" s="9" t="s">
        <v>72</v>
      </c>
      <c r="C74" s="9" t="s">
        <v>14</v>
      </c>
      <c r="D74" s="9" t="s">
        <v>15</v>
      </c>
      <c r="E74" s="19">
        <v>80</v>
      </c>
      <c r="F74" s="19">
        <v>2000</v>
      </c>
      <c r="G74" s="19">
        <f>_xlfn.RANK.EQ(Table2[[#This Row],[runs]],Table2[runs]) + COUNTIF(INDEX(Table2[runs],1):Table2[[#This Row],[runs]],Table2[[#This Row],[runs]]) - 1</f>
        <v>21</v>
      </c>
      <c r="H74" s="19">
        <v>28</v>
      </c>
      <c r="I74" s="19">
        <v>140</v>
      </c>
      <c r="J74" s="10" t="s">
        <v>59</v>
      </c>
      <c r="K74"/>
      <c r="L74" s="1"/>
    </row>
    <row r="75" spans="1:12" x14ac:dyDescent="0.3">
      <c r="A75" s="8" t="s">
        <v>90</v>
      </c>
      <c r="B75" s="9" t="s">
        <v>57</v>
      </c>
      <c r="C75" s="9" t="s">
        <v>38</v>
      </c>
      <c r="D75" s="9" t="s">
        <v>40</v>
      </c>
      <c r="E75" s="19">
        <v>70</v>
      </c>
      <c r="F75" s="19">
        <v>1800</v>
      </c>
      <c r="G75" s="19">
        <f>_xlfn.RANK.EQ(Table2[[#This Row],[runs]],Table2[runs]) + COUNTIF(INDEX(Table2[runs],1):Table2[[#This Row],[runs]],Table2[[#This Row],[runs]]) - 1</f>
        <v>22</v>
      </c>
      <c r="H75" s="19">
        <v>30</v>
      </c>
      <c r="I75" s="19">
        <v>160</v>
      </c>
      <c r="J75" s="10" t="s">
        <v>91</v>
      </c>
      <c r="K75"/>
      <c r="L75" s="1"/>
    </row>
    <row r="76" spans="1:12" x14ac:dyDescent="0.3">
      <c r="A76" s="5" t="s">
        <v>99</v>
      </c>
      <c r="B76" s="6" t="s">
        <v>67</v>
      </c>
      <c r="C76" s="6" t="s">
        <v>14</v>
      </c>
      <c r="D76" s="6" t="s">
        <v>15</v>
      </c>
      <c r="E76" s="18">
        <v>70</v>
      </c>
      <c r="F76" s="18">
        <v>1800</v>
      </c>
      <c r="G76" s="18">
        <f>_xlfn.RANK.EQ(Table2[[#This Row],[runs]],Table2[runs]) + COUNTIF(INDEX(Table2[runs],1):Table2[[#This Row],[runs]],Table2[[#This Row],[runs]]) - 1</f>
        <v>23</v>
      </c>
      <c r="H76" s="18">
        <v>25</v>
      </c>
      <c r="I76" s="18">
        <v>150</v>
      </c>
      <c r="J76" s="7" t="s">
        <v>59</v>
      </c>
      <c r="K76"/>
      <c r="L76" s="1"/>
    </row>
    <row r="77" spans="1:12" x14ac:dyDescent="0.3">
      <c r="A77" s="8" t="s">
        <v>106</v>
      </c>
      <c r="B77" s="9" t="s">
        <v>61</v>
      </c>
      <c r="C77" s="9" t="s">
        <v>14</v>
      </c>
      <c r="D77" s="9" t="s">
        <v>40</v>
      </c>
      <c r="E77" s="19">
        <v>60</v>
      </c>
      <c r="F77" s="19">
        <v>1500</v>
      </c>
      <c r="G77" s="19">
        <f>_xlfn.RANK.EQ(Table2[[#This Row],[runs]],Table2[runs]) + COUNTIF(INDEX(Table2[runs],1):Table2[[#This Row],[runs]],Table2[[#This Row],[runs]]) - 1</f>
        <v>24</v>
      </c>
      <c r="H77" s="19">
        <v>32</v>
      </c>
      <c r="I77" s="19">
        <v>155</v>
      </c>
      <c r="J77" s="10" t="s">
        <v>91</v>
      </c>
      <c r="K77"/>
      <c r="L77" s="1"/>
    </row>
    <row r="78" spans="1:12" x14ac:dyDescent="0.3">
      <c r="A78" s="15" t="s">
        <v>74</v>
      </c>
      <c r="B78" s="16" t="s">
        <v>72</v>
      </c>
      <c r="C78" s="16" t="s">
        <v>14</v>
      </c>
      <c r="D78" s="16" t="s">
        <v>15</v>
      </c>
      <c r="E78" s="21">
        <v>60</v>
      </c>
      <c r="F78" s="21">
        <v>1400</v>
      </c>
      <c r="G78" s="21">
        <f>_xlfn.RANK.EQ(Table2[[#This Row],[runs]],Table2[runs]) + COUNTIF(INDEX(Table2[runs],1):Table2[[#This Row],[runs]],Table2[[#This Row],[runs]]) - 1</f>
        <v>25</v>
      </c>
      <c r="H78" s="21">
        <v>32</v>
      </c>
      <c r="I78" s="21">
        <v>135</v>
      </c>
      <c r="J78" s="17" t="s">
        <v>75</v>
      </c>
      <c r="K78"/>
      <c r="L78" s="1"/>
    </row>
    <row r="83" spans="1:12" ht="15" thickBot="1" x14ac:dyDescent="0.35">
      <c r="A83" s="2" t="s">
        <v>0</v>
      </c>
      <c r="B83" s="3" t="s">
        <v>1</v>
      </c>
      <c r="C83" s="3" t="s">
        <v>2</v>
      </c>
      <c r="D83" s="3" t="s">
        <v>3</v>
      </c>
      <c r="E83" s="3" t="s">
        <v>4</v>
      </c>
      <c r="F83" s="20" t="s">
        <v>5</v>
      </c>
      <c r="G83" s="20" t="s">
        <v>6</v>
      </c>
      <c r="H83" s="20" t="s">
        <v>7</v>
      </c>
      <c r="I83" s="20" t="s">
        <v>8</v>
      </c>
      <c r="J83" s="20" t="s">
        <v>9</v>
      </c>
      <c r="K83" s="20" t="s">
        <v>10</v>
      </c>
      <c r="L83" s="4" t="s">
        <v>11</v>
      </c>
    </row>
    <row r="84" spans="1:12" ht="15" thickTop="1" x14ac:dyDescent="0.3">
      <c r="A84" s="5" t="s">
        <v>136</v>
      </c>
      <c r="B84" s="6" t="s">
        <v>25</v>
      </c>
      <c r="C84" s="6" t="s">
        <v>33</v>
      </c>
      <c r="D84" s="6" t="s">
        <v>15</v>
      </c>
      <c r="E84" s="6" t="s">
        <v>34</v>
      </c>
      <c r="F84" s="18">
        <v>120</v>
      </c>
      <c r="G84" s="18" t="s">
        <v>16</v>
      </c>
      <c r="H84" s="18" t="s">
        <v>16</v>
      </c>
      <c r="I84" s="18" t="s">
        <v>16</v>
      </c>
      <c r="J84" s="18">
        <v>150</v>
      </c>
      <c r="K84" s="18">
        <v>7</v>
      </c>
      <c r="L84" s="7" t="s">
        <v>35</v>
      </c>
    </row>
    <row r="85" spans="1:12" x14ac:dyDescent="0.3">
      <c r="A85" s="5" t="s">
        <v>53</v>
      </c>
      <c r="B85" s="9" t="s">
        <v>51</v>
      </c>
      <c r="C85" s="9" t="s">
        <v>33</v>
      </c>
      <c r="D85" s="9" t="s">
        <v>15</v>
      </c>
      <c r="E85" s="9" t="s">
        <v>54</v>
      </c>
      <c r="F85" s="19">
        <v>110</v>
      </c>
      <c r="G85" s="19">
        <v>350</v>
      </c>
      <c r="H85" s="19" t="s">
        <v>16</v>
      </c>
      <c r="I85" s="19">
        <v>150</v>
      </c>
      <c r="J85" s="19">
        <v>140</v>
      </c>
      <c r="K85" s="19">
        <v>6.5</v>
      </c>
      <c r="L85" s="10" t="s">
        <v>48</v>
      </c>
    </row>
    <row r="86" spans="1:12" x14ac:dyDescent="0.3">
      <c r="A86" s="5" t="s">
        <v>64</v>
      </c>
      <c r="B86" s="6" t="s">
        <v>61</v>
      </c>
      <c r="C86" s="6" t="s">
        <v>33</v>
      </c>
      <c r="D86" s="6" t="s">
        <v>15</v>
      </c>
      <c r="E86" s="6" t="s">
        <v>54</v>
      </c>
      <c r="F86" s="18">
        <v>150</v>
      </c>
      <c r="G86" s="18" t="s">
        <v>16</v>
      </c>
      <c r="H86" s="18" t="s">
        <v>16</v>
      </c>
      <c r="I86" s="18" t="s">
        <v>16</v>
      </c>
      <c r="J86" s="18">
        <v>190</v>
      </c>
      <c r="K86" s="18">
        <v>7.8</v>
      </c>
      <c r="L86" s="7" t="s">
        <v>65</v>
      </c>
    </row>
    <row r="87" spans="1:12" x14ac:dyDescent="0.3">
      <c r="A87" s="8" t="s">
        <v>76</v>
      </c>
      <c r="B87" s="9" t="s">
        <v>72</v>
      </c>
      <c r="C87" s="9" t="s">
        <v>33</v>
      </c>
      <c r="D87" s="9" t="s">
        <v>15</v>
      </c>
      <c r="E87" s="9" t="s">
        <v>77</v>
      </c>
      <c r="F87" s="19">
        <v>160</v>
      </c>
      <c r="G87" s="19" t="s">
        <v>16</v>
      </c>
      <c r="H87" s="19" t="s">
        <v>16</v>
      </c>
      <c r="I87" s="19" t="s">
        <v>16</v>
      </c>
      <c r="J87" s="19">
        <v>170</v>
      </c>
      <c r="K87" s="19">
        <v>7.5</v>
      </c>
      <c r="L87" s="10" t="s">
        <v>77</v>
      </c>
    </row>
    <row r="88" spans="1:12" x14ac:dyDescent="0.3">
      <c r="A88" s="5" t="s">
        <v>82</v>
      </c>
      <c r="B88" s="6" t="s">
        <v>79</v>
      </c>
      <c r="C88" s="6" t="s">
        <v>33</v>
      </c>
      <c r="D88" s="6" t="s">
        <v>40</v>
      </c>
      <c r="E88" s="6" t="s">
        <v>34</v>
      </c>
      <c r="F88" s="18">
        <v>80</v>
      </c>
      <c r="G88" s="18" t="s">
        <v>16</v>
      </c>
      <c r="H88" s="18" t="s">
        <v>16</v>
      </c>
      <c r="I88" s="18" t="s">
        <v>16</v>
      </c>
      <c r="J88" s="18">
        <v>90</v>
      </c>
      <c r="K88" s="18">
        <v>8</v>
      </c>
      <c r="L88" s="7" t="s">
        <v>83</v>
      </c>
    </row>
    <row r="89" spans="1:12" x14ac:dyDescent="0.3">
      <c r="A89" s="8" t="s">
        <v>84</v>
      </c>
      <c r="B89" s="9" t="s">
        <v>61</v>
      </c>
      <c r="C89" s="9" t="s">
        <v>33</v>
      </c>
      <c r="D89" s="9" t="s">
        <v>40</v>
      </c>
      <c r="E89" s="9" t="s">
        <v>34</v>
      </c>
      <c r="F89" s="19">
        <v>100</v>
      </c>
      <c r="G89" s="19" t="s">
        <v>16</v>
      </c>
      <c r="H89" s="19" t="s">
        <v>16</v>
      </c>
      <c r="I89" s="19" t="s">
        <v>16</v>
      </c>
      <c r="J89" s="19">
        <v>120</v>
      </c>
      <c r="K89" s="19">
        <v>7.8</v>
      </c>
      <c r="L89" s="10" t="s">
        <v>77</v>
      </c>
    </row>
    <row r="90" spans="1:12" x14ac:dyDescent="0.3">
      <c r="A90" s="5" t="s">
        <v>85</v>
      </c>
      <c r="B90" s="6" t="s">
        <v>46</v>
      </c>
      <c r="C90" s="6" t="s">
        <v>33</v>
      </c>
      <c r="D90" s="6" t="s">
        <v>40</v>
      </c>
      <c r="E90" s="6" t="s">
        <v>34</v>
      </c>
      <c r="F90" s="18">
        <v>40</v>
      </c>
      <c r="G90" s="18" t="s">
        <v>16</v>
      </c>
      <c r="H90" s="18" t="s">
        <v>16</v>
      </c>
      <c r="I90" s="18" t="s">
        <v>16</v>
      </c>
      <c r="J90" s="18">
        <v>60</v>
      </c>
      <c r="K90" s="18">
        <v>7.5</v>
      </c>
      <c r="L90" s="7" t="s">
        <v>86</v>
      </c>
    </row>
    <row r="91" spans="1:12" x14ac:dyDescent="0.3">
      <c r="A91" s="8" t="s">
        <v>95</v>
      </c>
      <c r="B91" s="9" t="s">
        <v>13</v>
      </c>
      <c r="C91" s="9" t="s">
        <v>33</v>
      </c>
      <c r="D91" s="9" t="s">
        <v>15</v>
      </c>
      <c r="E91" s="9" t="s">
        <v>34</v>
      </c>
      <c r="F91" s="19">
        <v>90</v>
      </c>
      <c r="G91" s="19" t="s">
        <v>16</v>
      </c>
      <c r="H91" s="19" t="s">
        <v>16</v>
      </c>
      <c r="I91" s="19" t="s">
        <v>16</v>
      </c>
      <c r="J91" s="19">
        <v>100</v>
      </c>
      <c r="K91" s="19">
        <v>7.8</v>
      </c>
      <c r="L91" s="10" t="s">
        <v>86</v>
      </c>
    </row>
    <row r="92" spans="1:12" x14ac:dyDescent="0.3">
      <c r="A92" s="5" t="s">
        <v>96</v>
      </c>
      <c r="B92" s="6" t="s">
        <v>67</v>
      </c>
      <c r="C92" s="6" t="s">
        <v>33</v>
      </c>
      <c r="D92" s="6" t="s">
        <v>40</v>
      </c>
      <c r="E92" s="6" t="s">
        <v>48</v>
      </c>
      <c r="F92" s="18">
        <v>80</v>
      </c>
      <c r="G92" s="18" t="s">
        <v>16</v>
      </c>
      <c r="H92" s="18" t="s">
        <v>16</v>
      </c>
      <c r="I92" s="18" t="s">
        <v>16</v>
      </c>
      <c r="J92" s="18">
        <v>90</v>
      </c>
      <c r="K92" s="18">
        <v>7.5</v>
      </c>
      <c r="L92" s="7" t="s">
        <v>48</v>
      </c>
    </row>
    <row r="93" spans="1:12" x14ac:dyDescent="0.3">
      <c r="A93" s="15" t="s">
        <v>101</v>
      </c>
      <c r="B93" s="16" t="s">
        <v>37</v>
      </c>
      <c r="C93" s="16" t="s">
        <v>33</v>
      </c>
      <c r="D93" s="16" t="s">
        <v>15</v>
      </c>
      <c r="E93" s="16" t="s">
        <v>77</v>
      </c>
      <c r="F93" s="21">
        <v>80</v>
      </c>
      <c r="G93" s="21" t="s">
        <v>16</v>
      </c>
      <c r="H93" s="21" t="s">
        <v>16</v>
      </c>
      <c r="I93" s="21" t="s">
        <v>16</v>
      </c>
      <c r="J93" s="21">
        <v>90</v>
      </c>
      <c r="K93" s="21">
        <v>7.5</v>
      </c>
      <c r="L93" s="17" t="s">
        <v>77</v>
      </c>
    </row>
    <row r="96" spans="1:12" ht="15" thickBot="1" x14ac:dyDescent="0.35">
      <c r="A96" s="2" t="s">
        <v>0</v>
      </c>
      <c r="B96" s="3" t="s">
        <v>1</v>
      </c>
      <c r="C96" s="3" t="s">
        <v>2</v>
      </c>
      <c r="D96" s="3" t="s">
        <v>3</v>
      </c>
      <c r="E96" s="3" t="s">
        <v>4</v>
      </c>
      <c r="F96" s="20" t="s">
        <v>5</v>
      </c>
      <c r="G96" s="20" t="s">
        <v>6</v>
      </c>
      <c r="H96" s="20" t="s">
        <v>7</v>
      </c>
      <c r="I96" s="20" t="s">
        <v>8</v>
      </c>
      <c r="J96" s="20" t="s">
        <v>9</v>
      </c>
      <c r="K96" s="20" t="s">
        <v>10</v>
      </c>
      <c r="L96" s="4" t="s">
        <v>11</v>
      </c>
    </row>
    <row r="97" spans="1:12" ht="15" thickTop="1" x14ac:dyDescent="0.3">
      <c r="A97" s="5" t="s">
        <v>20</v>
      </c>
      <c r="B97" s="6" t="s">
        <v>13</v>
      </c>
      <c r="C97" s="6" t="s">
        <v>21</v>
      </c>
      <c r="D97" s="6" t="s">
        <v>15</v>
      </c>
      <c r="E97" s="6" t="s">
        <v>22</v>
      </c>
      <c r="F97" s="18">
        <v>120</v>
      </c>
      <c r="G97" s="18">
        <v>2700</v>
      </c>
      <c r="H97" s="18">
        <v>26</v>
      </c>
      <c r="I97" s="18">
        <v>155</v>
      </c>
      <c r="J97" s="18">
        <v>35</v>
      </c>
      <c r="K97" s="18">
        <v>7.5</v>
      </c>
      <c r="L97" s="7" t="s">
        <v>23</v>
      </c>
    </row>
    <row r="98" spans="1:12" x14ac:dyDescent="0.3">
      <c r="A98" s="8" t="s">
        <v>29</v>
      </c>
      <c r="B98" s="9" t="s">
        <v>25</v>
      </c>
      <c r="C98" s="9" t="s">
        <v>21</v>
      </c>
      <c r="D98" s="9" t="s">
        <v>15</v>
      </c>
      <c r="E98" s="9" t="s">
        <v>30</v>
      </c>
      <c r="F98" s="19">
        <v>130</v>
      </c>
      <c r="G98" s="19">
        <v>2300</v>
      </c>
      <c r="H98" s="19">
        <v>30</v>
      </c>
      <c r="I98" s="19">
        <v>145</v>
      </c>
      <c r="J98" s="19">
        <v>60</v>
      </c>
      <c r="K98" s="19">
        <v>8.5</v>
      </c>
      <c r="L98" s="10" t="s">
        <v>31</v>
      </c>
    </row>
    <row r="99" spans="1:12" x14ac:dyDescent="0.3">
      <c r="A99" s="5" t="s">
        <v>39</v>
      </c>
      <c r="B99" s="6" t="s">
        <v>37</v>
      </c>
      <c r="C99" s="6" t="s">
        <v>21</v>
      </c>
      <c r="D99" s="6" t="s">
        <v>40</v>
      </c>
      <c r="E99" s="6" t="s">
        <v>41</v>
      </c>
      <c r="F99" s="18">
        <v>220</v>
      </c>
      <c r="G99" s="18">
        <v>2800</v>
      </c>
      <c r="H99" s="18">
        <v>27</v>
      </c>
      <c r="I99" s="18">
        <v>130</v>
      </c>
      <c r="J99" s="18">
        <v>150</v>
      </c>
      <c r="K99" s="18">
        <v>7.5</v>
      </c>
      <c r="L99" s="7" t="s">
        <v>42</v>
      </c>
    </row>
    <row r="100" spans="1:12" x14ac:dyDescent="0.3">
      <c r="A100" s="8" t="s">
        <v>45</v>
      </c>
      <c r="B100" s="9" t="s">
        <v>46</v>
      </c>
      <c r="C100" s="9" t="s">
        <v>21</v>
      </c>
      <c r="D100" s="9" t="s">
        <v>15</v>
      </c>
      <c r="E100" s="9" t="s">
        <v>34</v>
      </c>
      <c r="F100" s="19">
        <v>110</v>
      </c>
      <c r="G100" s="19">
        <v>2300</v>
      </c>
      <c r="H100" s="19">
        <v>29</v>
      </c>
      <c r="I100" s="19">
        <v>175</v>
      </c>
      <c r="J100" s="19">
        <v>100</v>
      </c>
      <c r="K100" s="19">
        <v>9</v>
      </c>
      <c r="L100" s="10" t="s">
        <v>23</v>
      </c>
    </row>
    <row r="101" spans="1:12" x14ac:dyDescent="0.3">
      <c r="A101" s="5" t="s">
        <v>47</v>
      </c>
      <c r="B101" s="6" t="s">
        <v>46</v>
      </c>
      <c r="C101" s="6" t="s">
        <v>21</v>
      </c>
      <c r="D101" s="6" t="s">
        <v>40</v>
      </c>
      <c r="E101" s="6" t="s">
        <v>48</v>
      </c>
      <c r="F101" s="18">
        <v>160</v>
      </c>
      <c r="G101" s="18">
        <v>1000</v>
      </c>
      <c r="H101" s="18">
        <v>20</v>
      </c>
      <c r="I101" s="18">
        <v>160</v>
      </c>
      <c r="J101" s="18">
        <v>160</v>
      </c>
      <c r="K101" s="18">
        <v>6.5</v>
      </c>
      <c r="L101" s="7" t="s">
        <v>49</v>
      </c>
    </row>
    <row r="102" spans="1:12" x14ac:dyDescent="0.3">
      <c r="A102" s="8" t="s">
        <v>70</v>
      </c>
      <c r="B102" s="9" t="s">
        <v>67</v>
      </c>
      <c r="C102" s="9" t="s">
        <v>21</v>
      </c>
      <c r="D102" s="9" t="s">
        <v>40</v>
      </c>
      <c r="E102" s="9" t="s">
        <v>48</v>
      </c>
      <c r="F102" s="19">
        <v>130</v>
      </c>
      <c r="G102" s="19">
        <v>1400</v>
      </c>
      <c r="H102" s="19">
        <v>25</v>
      </c>
      <c r="I102" s="19">
        <v>130</v>
      </c>
      <c r="J102" s="19">
        <v>110</v>
      </c>
      <c r="K102" s="19">
        <v>7.2</v>
      </c>
      <c r="L102" s="10" t="s">
        <v>42</v>
      </c>
    </row>
    <row r="103" spans="1:12" x14ac:dyDescent="0.3">
      <c r="A103" s="5" t="s">
        <v>80</v>
      </c>
      <c r="B103" s="6" t="s">
        <v>79</v>
      </c>
      <c r="C103" s="6" t="s">
        <v>21</v>
      </c>
      <c r="D103" s="6" t="s">
        <v>15</v>
      </c>
      <c r="E103" s="6" t="s">
        <v>48</v>
      </c>
      <c r="F103" s="18">
        <v>60</v>
      </c>
      <c r="G103" s="18">
        <v>1500</v>
      </c>
      <c r="H103" s="18">
        <v>28</v>
      </c>
      <c r="I103" s="18">
        <v>165</v>
      </c>
      <c r="J103" s="18">
        <v>20</v>
      </c>
      <c r="K103" s="18">
        <v>8.5</v>
      </c>
      <c r="L103" s="7" t="s">
        <v>81</v>
      </c>
    </row>
    <row r="104" spans="1:12" x14ac:dyDescent="0.3">
      <c r="A104" s="8" t="s">
        <v>87</v>
      </c>
      <c r="B104" s="9" t="s">
        <v>72</v>
      </c>
      <c r="C104" s="9" t="s">
        <v>21</v>
      </c>
      <c r="D104" s="9" t="s">
        <v>15</v>
      </c>
      <c r="E104" s="9" t="s">
        <v>34</v>
      </c>
      <c r="F104" s="19">
        <v>50</v>
      </c>
      <c r="G104" s="19">
        <v>400</v>
      </c>
      <c r="H104" s="19">
        <v>20</v>
      </c>
      <c r="I104" s="19">
        <v>140</v>
      </c>
      <c r="J104" s="19">
        <v>60</v>
      </c>
      <c r="K104" s="19">
        <v>8.1999999999999993</v>
      </c>
      <c r="L104" s="10" t="s">
        <v>42</v>
      </c>
    </row>
    <row r="105" spans="1:12" x14ac:dyDescent="0.3">
      <c r="A105" s="5" t="s">
        <v>88</v>
      </c>
      <c r="B105" s="6" t="s">
        <v>37</v>
      </c>
      <c r="C105" s="6" t="s">
        <v>21</v>
      </c>
      <c r="D105" s="6" t="s">
        <v>40</v>
      </c>
      <c r="E105" s="6" t="s">
        <v>34</v>
      </c>
      <c r="F105" s="18">
        <v>50</v>
      </c>
      <c r="G105" s="18">
        <v>900</v>
      </c>
      <c r="H105" s="18">
        <v>25</v>
      </c>
      <c r="I105" s="18">
        <v>135</v>
      </c>
      <c r="J105" s="18">
        <v>30</v>
      </c>
      <c r="K105" s="18">
        <v>8.5</v>
      </c>
      <c r="L105" s="7" t="s">
        <v>89</v>
      </c>
    </row>
    <row r="106" spans="1:12" x14ac:dyDescent="0.3">
      <c r="A106" s="8" t="s">
        <v>92</v>
      </c>
      <c r="B106" s="9" t="s">
        <v>57</v>
      </c>
      <c r="C106" s="9" t="s">
        <v>21</v>
      </c>
      <c r="D106" s="9" t="s">
        <v>15</v>
      </c>
      <c r="E106" s="9" t="s">
        <v>93</v>
      </c>
      <c r="F106" s="19">
        <v>90</v>
      </c>
      <c r="G106" s="19">
        <v>2000</v>
      </c>
      <c r="H106" s="19">
        <v>28</v>
      </c>
      <c r="I106" s="19">
        <v>145</v>
      </c>
      <c r="J106" s="19">
        <v>40</v>
      </c>
      <c r="K106" s="19">
        <v>8.8000000000000007</v>
      </c>
      <c r="L106" s="10" t="s">
        <v>81</v>
      </c>
    </row>
    <row r="107" spans="1:12" x14ac:dyDescent="0.3">
      <c r="A107" s="5" t="s">
        <v>98</v>
      </c>
      <c r="B107" s="6" t="s">
        <v>72</v>
      </c>
      <c r="C107" s="6" t="s">
        <v>21</v>
      </c>
      <c r="D107" s="6" t="s">
        <v>40</v>
      </c>
      <c r="E107" s="6" t="s">
        <v>48</v>
      </c>
      <c r="F107" s="18">
        <v>60</v>
      </c>
      <c r="G107" s="18">
        <v>1400</v>
      </c>
      <c r="H107" s="18">
        <v>27</v>
      </c>
      <c r="I107" s="18">
        <v>140</v>
      </c>
      <c r="J107" s="18">
        <v>20</v>
      </c>
      <c r="K107" s="18">
        <v>8</v>
      </c>
      <c r="L107" s="7" t="s">
        <v>42</v>
      </c>
    </row>
    <row r="108" spans="1:12" x14ac:dyDescent="0.3">
      <c r="A108" s="8" t="s">
        <v>102</v>
      </c>
      <c r="B108" s="9" t="s">
        <v>61</v>
      </c>
      <c r="C108" s="9" t="s">
        <v>21</v>
      </c>
      <c r="D108" s="9" t="s">
        <v>15</v>
      </c>
      <c r="E108" s="9" t="s">
        <v>48</v>
      </c>
      <c r="F108" s="19">
        <v>200</v>
      </c>
      <c r="G108" s="19">
        <v>700</v>
      </c>
      <c r="H108" s="19">
        <v>15</v>
      </c>
      <c r="I108" s="19">
        <v>120</v>
      </c>
      <c r="J108" s="19">
        <v>170</v>
      </c>
      <c r="K108" s="19">
        <v>7</v>
      </c>
      <c r="L108" s="10" t="s">
        <v>48</v>
      </c>
    </row>
    <row r="109" spans="1:12" x14ac:dyDescent="0.3">
      <c r="A109" s="5" t="s">
        <v>103</v>
      </c>
      <c r="B109" s="6" t="s">
        <v>72</v>
      </c>
      <c r="C109" s="6" t="s">
        <v>21</v>
      </c>
      <c r="D109" s="6" t="s">
        <v>40</v>
      </c>
      <c r="E109" s="6" t="s">
        <v>48</v>
      </c>
      <c r="F109" s="18">
        <v>60</v>
      </c>
      <c r="G109" s="18">
        <v>800</v>
      </c>
      <c r="H109" s="18">
        <v>20</v>
      </c>
      <c r="I109" s="18">
        <v>130</v>
      </c>
      <c r="J109" s="18">
        <v>40</v>
      </c>
      <c r="K109" s="18">
        <v>7.2</v>
      </c>
      <c r="L109" s="7" t="s">
        <v>104</v>
      </c>
    </row>
    <row r="110" spans="1:12" x14ac:dyDescent="0.3">
      <c r="A110" s="15" t="s">
        <v>107</v>
      </c>
      <c r="B110" s="16" t="s">
        <v>61</v>
      </c>
      <c r="C110" s="16" t="s">
        <v>21</v>
      </c>
      <c r="D110" s="16" t="s">
        <v>15</v>
      </c>
      <c r="E110" s="16" t="s">
        <v>34</v>
      </c>
      <c r="F110" s="21">
        <v>50</v>
      </c>
      <c r="G110" s="21">
        <v>500</v>
      </c>
      <c r="H110" s="21">
        <v>18</v>
      </c>
      <c r="I110" s="21">
        <v>130</v>
      </c>
      <c r="J110" s="21">
        <v>50</v>
      </c>
      <c r="K110" s="21">
        <v>8.1999999999999993</v>
      </c>
      <c r="L110" s="17" t="s">
        <v>42</v>
      </c>
    </row>
    <row r="113" spans="1:5" x14ac:dyDescent="0.3">
      <c r="A113" s="23" t="s">
        <v>1</v>
      </c>
      <c r="B113" s="23" t="s">
        <v>137</v>
      </c>
      <c r="C113" s="23" t="s">
        <v>138</v>
      </c>
      <c r="D113" s="23" t="s">
        <v>139</v>
      </c>
      <c r="E113" s="23" t="s">
        <v>140</v>
      </c>
    </row>
    <row r="114" spans="1:5" x14ac:dyDescent="0.3">
      <c r="A114" s="24" t="s">
        <v>142</v>
      </c>
      <c r="B114" s="24">
        <v>14</v>
      </c>
      <c r="C114" s="24">
        <v>10</v>
      </c>
      <c r="D114" s="24">
        <v>4</v>
      </c>
      <c r="E114" s="25">
        <v>71.428571430000005</v>
      </c>
    </row>
    <row r="115" spans="1:5" x14ac:dyDescent="0.3">
      <c r="A115" s="24" t="s">
        <v>141</v>
      </c>
      <c r="B115" s="24">
        <v>14</v>
      </c>
      <c r="C115" s="24">
        <v>9</v>
      </c>
      <c r="D115" s="24">
        <v>5</v>
      </c>
      <c r="E115" s="25">
        <v>64.285714290000001</v>
      </c>
    </row>
    <row r="116" spans="1:5" x14ac:dyDescent="0.3">
      <c r="A116" s="24" t="s">
        <v>143</v>
      </c>
      <c r="B116" s="24">
        <v>14</v>
      </c>
      <c r="C116" s="24">
        <v>9</v>
      </c>
      <c r="D116" s="24">
        <v>5</v>
      </c>
      <c r="E116" s="25">
        <v>64.142857140000004</v>
      </c>
    </row>
    <row r="117" spans="1:5" x14ac:dyDescent="0.3">
      <c r="A117" s="24" t="s">
        <v>150</v>
      </c>
      <c r="B117" s="24">
        <v>14</v>
      </c>
      <c r="C117" s="24">
        <v>8</v>
      </c>
      <c r="D117" s="24">
        <v>6</v>
      </c>
      <c r="E117" s="25">
        <v>57.285714290000001</v>
      </c>
    </row>
    <row r="118" spans="1:5" x14ac:dyDescent="0.3">
      <c r="A118" s="24" t="s">
        <v>149</v>
      </c>
      <c r="B118" s="24">
        <v>14</v>
      </c>
      <c r="C118" s="24">
        <v>8</v>
      </c>
      <c r="D118" s="24">
        <v>6</v>
      </c>
      <c r="E118" s="25">
        <v>57.142857139999997</v>
      </c>
    </row>
    <row r="119" spans="1:5" x14ac:dyDescent="0.3">
      <c r="A119" s="24" t="s">
        <v>144</v>
      </c>
      <c r="B119" s="24">
        <v>14</v>
      </c>
      <c r="C119" s="24">
        <v>7</v>
      </c>
      <c r="D119" s="24">
        <v>7</v>
      </c>
      <c r="E119" s="25">
        <v>50</v>
      </c>
    </row>
    <row r="120" spans="1:5" x14ac:dyDescent="0.3">
      <c r="A120" s="24" t="s">
        <v>145</v>
      </c>
      <c r="B120" s="24">
        <v>14</v>
      </c>
      <c r="C120" s="24">
        <v>6</v>
      </c>
      <c r="D120" s="24">
        <v>8</v>
      </c>
      <c r="E120" s="25">
        <v>42.857142860000003</v>
      </c>
    </row>
    <row r="121" spans="1:5" x14ac:dyDescent="0.3">
      <c r="A121" s="24" t="s">
        <v>147</v>
      </c>
      <c r="B121" s="24">
        <v>14</v>
      </c>
      <c r="C121" s="24">
        <v>6</v>
      </c>
      <c r="D121" s="24">
        <v>8</v>
      </c>
      <c r="E121" s="25">
        <v>42.857142860000003</v>
      </c>
    </row>
    <row r="122" spans="1:5" x14ac:dyDescent="0.3">
      <c r="A122" s="24" t="s">
        <v>146</v>
      </c>
      <c r="B122" s="24">
        <v>14</v>
      </c>
      <c r="C122" s="24">
        <v>5</v>
      </c>
      <c r="D122" s="24">
        <v>9</v>
      </c>
      <c r="E122" s="25">
        <v>35.714285709999999</v>
      </c>
    </row>
    <row r="123" spans="1:5" x14ac:dyDescent="0.3">
      <c r="A123" s="24" t="s">
        <v>148</v>
      </c>
      <c r="B123" s="24">
        <v>14</v>
      </c>
      <c r="C123" s="24">
        <v>5</v>
      </c>
      <c r="D123" s="24">
        <v>9</v>
      </c>
      <c r="E123" s="25">
        <v>35.714285709999999</v>
      </c>
    </row>
  </sheetData>
  <pageMargins left="0.75" right="0.75" top="1" bottom="1" header="0.5" footer="0.5"/>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9CEC-1657-4966-A267-48327F789B7C}">
  <dimension ref="A1"/>
  <sheetViews>
    <sheetView tabSelected="1" zoomScale="73" zoomScaleNormal="73" workbookViewId="0">
      <selection activeCell="Y8" sqref="Y7:Y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3D3F9-15C2-4818-B96D-2F6D2A70C6D1}">
  <dimension ref="B4:B8"/>
  <sheetViews>
    <sheetView workbookViewId="0">
      <selection activeCell="B9" sqref="B9"/>
    </sheetView>
  </sheetViews>
  <sheetFormatPr defaultRowHeight="14.4" x14ac:dyDescent="0.3"/>
  <sheetData>
    <row r="4" spans="2:2" x14ac:dyDescent="0.3">
      <c r="B4" t="s">
        <v>111</v>
      </c>
    </row>
    <row r="5" spans="2:2" x14ac:dyDescent="0.3">
      <c r="B5" t="s">
        <v>110</v>
      </c>
    </row>
    <row r="6" spans="2:2" x14ac:dyDescent="0.3">
      <c r="B6" t="s">
        <v>112</v>
      </c>
    </row>
    <row r="7" spans="2:2" x14ac:dyDescent="0.3">
      <c r="B7" t="s">
        <v>113</v>
      </c>
    </row>
    <row r="8" spans="2:2" x14ac:dyDescent="0.3">
      <c r="B8" t="s">
        <v>114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66C3C-303E-4D31-9E0F-821CB4C95814}">
  <dimension ref="A3:I32"/>
  <sheetViews>
    <sheetView workbookViewId="0">
      <selection activeCell="Y8" sqref="Y7:Y8"/>
    </sheetView>
  </sheetViews>
  <sheetFormatPr defaultRowHeight="14.4" x14ac:dyDescent="0.3"/>
  <cols>
    <col min="1" max="1" width="14.109375" bestFit="1" customWidth="1"/>
    <col min="2" max="2" width="11.109375" bestFit="1" customWidth="1"/>
    <col min="3" max="3" width="14.109375" bestFit="1" customWidth="1"/>
    <col min="4" max="4" width="17.77734375" bestFit="1" customWidth="1"/>
    <col min="5" max="5" width="14.109375" bestFit="1" customWidth="1"/>
    <col min="6" max="6" width="11.109375" bestFit="1" customWidth="1"/>
    <col min="7" max="7" width="24.33203125" bestFit="1" customWidth="1"/>
    <col min="8" max="8" width="21" bestFit="1" customWidth="1"/>
    <col min="9" max="9" width="19.33203125" bestFit="1" customWidth="1"/>
    <col min="10" max="10" width="14.109375" bestFit="1" customWidth="1"/>
    <col min="11" max="11" width="15.44140625" bestFit="1" customWidth="1"/>
    <col min="12" max="12" width="12" bestFit="1" customWidth="1"/>
    <col min="13" max="18" width="15.5546875" bestFit="1" customWidth="1"/>
    <col min="19" max="19" width="20.21875" bestFit="1" customWidth="1"/>
    <col min="20" max="20" width="18.88671875" bestFit="1" customWidth="1"/>
    <col min="21" max="21" width="16.109375" bestFit="1" customWidth="1"/>
    <col min="22" max="22" width="21.88671875" bestFit="1" customWidth="1"/>
    <col min="23" max="23" width="20.44140625" bestFit="1" customWidth="1"/>
    <col min="24" max="24" width="20.21875" bestFit="1" customWidth="1"/>
    <col min="25" max="25" width="18.88671875" bestFit="1" customWidth="1"/>
  </cols>
  <sheetData>
    <row r="3" spans="1:9" x14ac:dyDescent="0.3">
      <c r="A3" s="11" t="s">
        <v>116</v>
      </c>
      <c r="B3" t="s">
        <v>135</v>
      </c>
      <c r="D3" s="11" t="s">
        <v>116</v>
      </c>
      <c r="E3" t="s">
        <v>118</v>
      </c>
      <c r="G3" s="11" t="s">
        <v>116</v>
      </c>
      <c r="H3" t="s">
        <v>151</v>
      </c>
    </row>
    <row r="4" spans="1:9" x14ac:dyDescent="0.3">
      <c r="A4" s="12" t="s">
        <v>12</v>
      </c>
      <c r="B4" s="26">
        <v>7263</v>
      </c>
      <c r="D4" s="12" t="s">
        <v>64</v>
      </c>
      <c r="E4" s="26">
        <v>190</v>
      </c>
      <c r="G4" s="12" t="s">
        <v>142</v>
      </c>
      <c r="H4" s="14">
        <v>71.428571430000005</v>
      </c>
    </row>
    <row r="5" spans="1:9" x14ac:dyDescent="0.3">
      <c r="A5" s="12" t="s">
        <v>78</v>
      </c>
      <c r="B5" s="26">
        <v>6500</v>
      </c>
      <c r="D5" s="12" t="s">
        <v>76</v>
      </c>
      <c r="E5" s="26">
        <v>170</v>
      </c>
      <c r="G5" s="12" t="s">
        <v>141</v>
      </c>
      <c r="H5" s="14">
        <v>64.285714290000001</v>
      </c>
    </row>
    <row r="6" spans="1:9" x14ac:dyDescent="0.3">
      <c r="A6" s="12" t="s">
        <v>66</v>
      </c>
      <c r="B6" s="26">
        <v>6500</v>
      </c>
      <c r="D6" s="12" t="s">
        <v>32</v>
      </c>
      <c r="E6" s="26">
        <v>150</v>
      </c>
      <c r="G6" s="12" t="s">
        <v>143</v>
      </c>
      <c r="H6" s="14">
        <v>64.142857140000004</v>
      </c>
    </row>
    <row r="7" spans="1:9" x14ac:dyDescent="0.3">
      <c r="A7" s="12" t="s">
        <v>24</v>
      </c>
      <c r="B7" s="26">
        <v>6200</v>
      </c>
      <c r="D7" s="12" t="s">
        <v>53</v>
      </c>
      <c r="E7" s="26">
        <v>140</v>
      </c>
      <c r="G7" s="12" t="s">
        <v>117</v>
      </c>
      <c r="H7" s="14">
        <v>199.85714286000001</v>
      </c>
    </row>
    <row r="8" spans="1:9" x14ac:dyDescent="0.3">
      <c r="A8" s="12" t="s">
        <v>36</v>
      </c>
      <c r="B8" s="26">
        <v>5082</v>
      </c>
      <c r="D8" s="12" t="s">
        <v>84</v>
      </c>
      <c r="E8" s="26">
        <v>120</v>
      </c>
    </row>
    <row r="9" spans="1:9" x14ac:dyDescent="0.3">
      <c r="A9" s="12" t="s">
        <v>105</v>
      </c>
      <c r="B9" s="26">
        <v>4500</v>
      </c>
      <c r="D9" s="12" t="s">
        <v>95</v>
      </c>
      <c r="E9" s="26">
        <v>100</v>
      </c>
    </row>
    <row r="10" spans="1:9" x14ac:dyDescent="0.3">
      <c r="A10" s="12" t="s">
        <v>56</v>
      </c>
      <c r="B10" s="26">
        <v>4200</v>
      </c>
      <c r="D10" s="12" t="s">
        <v>101</v>
      </c>
      <c r="E10" s="26">
        <v>90</v>
      </c>
      <c r="H10" s="11" t="s">
        <v>116</v>
      </c>
      <c r="I10" t="s">
        <v>152</v>
      </c>
    </row>
    <row r="11" spans="1:9" x14ac:dyDescent="0.3">
      <c r="A11" s="12" t="s">
        <v>18</v>
      </c>
      <c r="B11" s="26">
        <v>4000</v>
      </c>
      <c r="D11" s="12" t="s">
        <v>82</v>
      </c>
      <c r="E11" s="26">
        <v>90</v>
      </c>
      <c r="H11" s="12" t="s">
        <v>146</v>
      </c>
      <c r="I11" s="27">
        <v>0.26470588235294118</v>
      </c>
    </row>
    <row r="12" spans="1:9" x14ac:dyDescent="0.3">
      <c r="A12" s="12" t="s">
        <v>60</v>
      </c>
      <c r="B12" s="26">
        <v>3800</v>
      </c>
      <c r="D12" s="12" t="s">
        <v>96</v>
      </c>
      <c r="E12" s="26">
        <v>90</v>
      </c>
      <c r="H12" s="12" t="s">
        <v>148</v>
      </c>
      <c r="I12" s="27">
        <v>0.26470588235294118</v>
      </c>
    </row>
    <row r="13" spans="1:9" x14ac:dyDescent="0.3">
      <c r="A13" s="12" t="s">
        <v>63</v>
      </c>
      <c r="B13" s="26">
        <v>3600</v>
      </c>
      <c r="D13" s="12" t="s">
        <v>85</v>
      </c>
      <c r="E13" s="26">
        <v>60</v>
      </c>
      <c r="H13" s="12" t="s">
        <v>145</v>
      </c>
      <c r="I13" s="27">
        <v>0.23529411764705882</v>
      </c>
    </row>
    <row r="14" spans="1:9" x14ac:dyDescent="0.3">
      <c r="A14" s="12" t="s">
        <v>117</v>
      </c>
      <c r="B14" s="26">
        <v>51645</v>
      </c>
      <c r="D14" s="12" t="s">
        <v>117</v>
      </c>
      <c r="E14" s="26">
        <v>1200</v>
      </c>
      <c r="H14" s="12" t="s">
        <v>147</v>
      </c>
      <c r="I14" s="27">
        <v>0.23529411764705882</v>
      </c>
    </row>
    <row r="15" spans="1:9" x14ac:dyDescent="0.3">
      <c r="H15" s="12" t="s">
        <v>117</v>
      </c>
      <c r="I15" s="27">
        <v>1</v>
      </c>
    </row>
    <row r="22" spans="2:3" x14ac:dyDescent="0.3">
      <c r="B22" s="22" t="s">
        <v>116</v>
      </c>
      <c r="C22" s="22" t="s">
        <v>118</v>
      </c>
    </row>
    <row r="23" spans="2:3" x14ac:dyDescent="0.3">
      <c r="B23" s="12" t="str">
        <f t="shared" ref="B23:B32" si="0">LEFT(D4,1)&amp;". "&amp;TRIM(RIGHT(SUBSTITUTE(D4," ",REPT(" ",100)),100))</f>
        <v>Y. Chahal</v>
      </c>
      <c r="C23">
        <v>190</v>
      </c>
    </row>
    <row r="24" spans="2:3" x14ac:dyDescent="0.3">
      <c r="B24" s="12" t="str">
        <f t="shared" si="0"/>
        <v>B. Kumar</v>
      </c>
      <c r="C24">
        <v>170</v>
      </c>
    </row>
    <row r="25" spans="2:3" x14ac:dyDescent="0.3">
      <c r="B25" s="12" t="str">
        <f t="shared" si="0"/>
        <v>J. Bumrah</v>
      </c>
      <c r="C25">
        <v>150</v>
      </c>
    </row>
    <row r="26" spans="2:3" x14ac:dyDescent="0.3">
      <c r="B26" s="12" t="str">
        <f t="shared" si="0"/>
        <v>R. Khan</v>
      </c>
      <c r="C26">
        <v>140</v>
      </c>
    </row>
    <row r="27" spans="2:3" x14ac:dyDescent="0.3">
      <c r="B27" s="12" t="str">
        <f t="shared" si="0"/>
        <v>T. Boult</v>
      </c>
      <c r="C27">
        <v>120</v>
      </c>
    </row>
    <row r="28" spans="2:3" x14ac:dyDescent="0.3">
      <c r="B28" s="12" t="str">
        <f t="shared" si="0"/>
        <v>M. Siraj</v>
      </c>
      <c r="C28">
        <v>100</v>
      </c>
    </row>
    <row r="29" spans="2:3" x14ac:dyDescent="0.3">
      <c r="B29" s="12" t="str">
        <f t="shared" si="0"/>
        <v>D. Chahar</v>
      </c>
      <c r="C29">
        <v>90</v>
      </c>
    </row>
    <row r="30" spans="2:3" x14ac:dyDescent="0.3">
      <c r="B30" s="12" t="str">
        <f t="shared" si="0"/>
        <v>A. Singh</v>
      </c>
      <c r="C30">
        <v>90</v>
      </c>
    </row>
    <row r="31" spans="2:3" x14ac:dyDescent="0.3">
      <c r="B31" s="12" t="str">
        <f t="shared" si="0"/>
        <v>K. Yadav</v>
      </c>
      <c r="C31">
        <v>90</v>
      </c>
    </row>
    <row r="32" spans="2:3" x14ac:dyDescent="0.3">
      <c r="B32" s="12" t="str">
        <f t="shared" si="0"/>
        <v>M. Starc</v>
      </c>
      <c r="C32">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287BF-0A88-484B-91DA-8FB947885046}">
  <dimension ref="C5:K7"/>
  <sheetViews>
    <sheetView workbookViewId="0">
      <selection activeCell="C6" sqref="C6"/>
    </sheetView>
  </sheetViews>
  <sheetFormatPr defaultRowHeight="14.4" x14ac:dyDescent="0.3"/>
  <cols>
    <col min="3" max="3" width="14.109375" bestFit="1" customWidth="1"/>
    <col min="4" max="4" width="15.5546875" bestFit="1" customWidth="1"/>
    <col min="5" max="5" width="14.109375" bestFit="1" customWidth="1"/>
    <col min="6" max="6" width="19.77734375" bestFit="1" customWidth="1"/>
    <col min="7" max="7" width="4.109375" bestFit="1" customWidth="1"/>
    <col min="8" max="8" width="13.109375" bestFit="1" customWidth="1"/>
    <col min="9" max="9" width="9.109375" bestFit="1" customWidth="1"/>
    <col min="10" max="10" width="7.109375" bestFit="1" customWidth="1"/>
    <col min="11" max="11" width="12.5546875" bestFit="1" customWidth="1"/>
    <col min="12" max="12" width="4.33203125" bestFit="1" customWidth="1"/>
    <col min="13" max="14" width="6.33203125" bestFit="1" customWidth="1"/>
    <col min="15" max="15" width="4.33203125" bestFit="1" customWidth="1"/>
    <col min="16" max="16" width="4" bestFit="1" customWidth="1"/>
    <col min="17" max="17" width="5.33203125" bestFit="1" customWidth="1"/>
    <col min="18" max="18" width="4.33203125" bestFit="1" customWidth="1"/>
    <col min="19" max="19" width="4" bestFit="1" customWidth="1"/>
    <col min="20" max="20" width="4.33203125" bestFit="1" customWidth="1"/>
    <col min="21" max="21" width="9" bestFit="1" customWidth="1"/>
    <col min="22" max="22" width="14.33203125" bestFit="1" customWidth="1"/>
    <col min="23" max="23" width="17.21875" bestFit="1" customWidth="1"/>
    <col min="24" max="24" width="10" bestFit="1" customWidth="1"/>
    <col min="25" max="25" width="4" bestFit="1" customWidth="1"/>
    <col min="26" max="26" width="12.6640625" bestFit="1" customWidth="1"/>
    <col min="27" max="27" width="10.109375" bestFit="1" customWidth="1"/>
    <col min="28" max="28" width="12.77734375" bestFit="1" customWidth="1"/>
    <col min="29" max="29" width="13.88671875" bestFit="1" customWidth="1"/>
    <col min="30" max="30" width="16.6640625" bestFit="1" customWidth="1"/>
    <col min="31" max="31" width="9.77734375" bestFit="1" customWidth="1"/>
    <col min="32" max="32" width="12.44140625" bestFit="1" customWidth="1"/>
    <col min="33" max="33" width="6.6640625" bestFit="1" customWidth="1"/>
    <col min="34" max="34" width="4.33203125" bestFit="1" customWidth="1"/>
    <col min="35" max="35" width="5.33203125" bestFit="1" customWidth="1"/>
    <col min="36" max="36" width="4" bestFit="1" customWidth="1"/>
    <col min="37" max="37" width="4.33203125" bestFit="1" customWidth="1"/>
    <col min="38" max="38" width="9.33203125" bestFit="1" customWidth="1"/>
    <col min="39" max="39" width="8" bestFit="1" customWidth="1"/>
    <col min="40" max="40" width="4.33203125" bestFit="1" customWidth="1"/>
    <col min="41" max="41" width="10.6640625" bestFit="1" customWidth="1"/>
    <col min="42" max="42" width="10.77734375" bestFit="1" customWidth="1"/>
  </cols>
  <sheetData>
    <row r="5" spans="3:11" x14ac:dyDescent="0.3">
      <c r="H5" t="s">
        <v>121</v>
      </c>
    </row>
    <row r="6" spans="3:11" x14ac:dyDescent="0.3">
      <c r="C6" t="s">
        <v>115</v>
      </c>
      <c r="D6" t="s">
        <v>120</v>
      </c>
      <c r="E6" t="s">
        <v>118</v>
      </c>
      <c r="F6" t="s">
        <v>119</v>
      </c>
      <c r="H6" t="s">
        <v>124</v>
      </c>
      <c r="I6" t="s">
        <v>125</v>
      </c>
      <c r="J6" t="s">
        <v>122</v>
      </c>
      <c r="K6" t="s">
        <v>123</v>
      </c>
    </row>
    <row r="7" spans="3:11" x14ac:dyDescent="0.3">
      <c r="C7">
        <v>5720</v>
      </c>
      <c r="D7">
        <v>7263</v>
      </c>
      <c r="E7">
        <v>2245</v>
      </c>
      <c r="F7" s="13">
        <v>140.875</v>
      </c>
      <c r="H7" t="str">
        <f>TEXT(C7,"##,#")</f>
        <v>5,720</v>
      </c>
      <c r="I7" t="str">
        <f t="shared" ref="I7:J7" si="0">TEXT(D7,"##,#")</f>
        <v>7,263</v>
      </c>
      <c r="J7" t="str">
        <f t="shared" si="0"/>
        <v>2,245</v>
      </c>
      <c r="K7" s="14" t="str">
        <f>TEXT(F7,"##.00")</f>
        <v>140.88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IPL_Real_50_Players</vt:lpstr>
      <vt:lpstr>dashboard</vt:lpstr>
      <vt:lpstr>sheet</vt:lpstr>
      <vt:lpstr>Sheet4</vt:lpstr>
      <vt:lpstr>Sheet3</vt:lpstr>
      <vt:lpstr>allrounders</vt:lpstr>
      <vt:lpstr>batters</vt:lpstr>
      <vt:lpstr>bowlers</vt:lpstr>
      <vt:lpstr>dash</vt:lpstr>
      <vt:lpstr>players</vt:lpstr>
      <vt:lpstr>teams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vishwaj668@outlook.com</cp:lastModifiedBy>
  <dcterms:created xsi:type="dcterms:W3CDTF">2026-04-03T10:16:52Z</dcterms:created>
  <dcterms:modified xsi:type="dcterms:W3CDTF">2026-04-14T12:35:42Z</dcterms:modified>
</cp:coreProperties>
</file>